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comments/comment2.xml" ContentType="application/vnd.openxmlformats-officedocument.spreadsheetml.comments+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ables/table1.xml" ContentType="application/vnd.openxmlformats-officedocument.spreadsheetml.table+xml"/>
  <Override PartName="/xl/worksheets/sheet8.xml" ContentType="application/vnd.openxmlformats-officedocument.spreadsheetml.worksheet+xml"/>
  <Override PartName="/xl/tables/table2.xml" ContentType="application/vnd.openxmlformats-officedocument.spreadsheetml.table+xml"/>
  <Override PartName="/xl/worksheets/sheet9.xml" ContentType="application/vnd.openxmlformats-officedocument.spreadsheetml.worksheet+xml"/>
  <Override PartName="/xl/tables/table3.xml" ContentType="application/vnd.openxmlformats-officedocument.spreadsheetml.table+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Start_Here" sheetId="1" state="visible" r:id="rId1"/>
    <sheet xmlns:r="http://schemas.openxmlformats.org/officeDocument/2006/relationships" name="Scoring" sheetId="2" state="visible" r:id="rId2"/>
    <sheet xmlns:r="http://schemas.openxmlformats.org/officeDocument/2006/relationships" name="Slot_Ledger" sheetId="3" state="visible" r:id="rId3"/>
    <sheet xmlns:r="http://schemas.openxmlformats.org/officeDocument/2006/relationships" name="Scoreboard" sheetId="4" state="visible" r:id="rId4"/>
    <sheet xmlns:r="http://schemas.openxmlformats.org/officeDocument/2006/relationships" name="Research_Routine" sheetId="5" state="visible" r:id="rId5"/>
    <sheet xmlns:r="http://schemas.openxmlformats.org/officeDocument/2006/relationships" name="Rubric" sheetId="6" state="visible" r:id="rId6"/>
    <sheet xmlns:r="http://schemas.openxmlformats.org/officeDocument/2006/relationships" name="Candidate_Universe" sheetId="7" state="visible" r:id="rId7"/>
    <sheet xmlns:r="http://schemas.openxmlformats.org/officeDocument/2006/relationships" name="Digital_Product_Research" sheetId="8" state="visible" r:id="rId8"/>
    <sheet xmlns:r="http://schemas.openxmlformats.org/officeDocument/2006/relationships" name="Baseline_Tracker" sheetId="9" state="visible" r:id="rId9"/>
    <sheet xmlns:r="http://schemas.openxmlformats.org/officeDocument/2006/relationships" name="Baseline_Brief" sheetId="10" state="visible" r:id="rId10"/>
  </sheets>
  <definedNames/>
</workbook>
</file>

<file path=xl/styles.xml><?xml version="1.0" encoding="utf-8"?>
<styleSheet xmlns="http://schemas.openxmlformats.org/spreadsheetml/2006/main">
  <numFmts count="6">
    <numFmt numFmtId="164" formatCode="yyyy\-mm\-dd"/>
    <numFmt numFmtId="165" formatCode="0.0%"/>
    <numFmt numFmtId="166" formatCode="\$0.00"/>
    <numFmt numFmtId="167" formatCode="0.0"/>
    <numFmt numFmtId="168" formatCode="\$#,##0.00"/>
    <numFmt numFmtId="169" formatCode="yyyy-mm-dd h:mm:ss"/>
  </numFmts>
  <fonts count="26">
    <font>
      <name val="Calibri"/>
      <color theme="1"/>
      <sz val="11"/>
    </font>
    <font>
      <name val="Arial"/>
      <sz val="10"/>
    </font>
    <font>
      <name val="Arial"/>
      <sz val="10"/>
    </font>
    <font>
      <name val="Arial"/>
      <sz val="10"/>
    </font>
    <font>
      <name val="Arial"/>
      <b val="1"/>
      <color rgb="FF000000"/>
      <sz val="16"/>
    </font>
    <font>
      <name val="Arial"/>
      <i val="1"/>
      <color rgb="FF000000"/>
      <sz val="10"/>
    </font>
    <font>
      <name val="Arial"/>
      <b val="1"/>
      <color rgb="FFFFFFFF"/>
      <sz val="10"/>
    </font>
    <font>
      <name val="Arial"/>
      <b val="1"/>
      <color rgb="FF000000"/>
      <sz val="10"/>
    </font>
    <font>
      <name val="Arial"/>
      <color rgb="FF000000"/>
      <sz val="10"/>
    </font>
    <font>
      <name val="Arial"/>
      <b val="1"/>
      <color rgb="FF000000"/>
      <sz val="14"/>
    </font>
    <font>
      <name val="Arial"/>
      <color rgb="FF0000FF"/>
      <sz val="10"/>
    </font>
    <font>
      <name val="Arial"/>
      <sz val="10"/>
    </font>
    <font>
      <name val="Arial"/>
      <color rgb="FF008000"/>
      <sz val="10"/>
    </font>
    <font>
      <name val="Arial"/>
      <b val="1"/>
      <color rgb="FF000000"/>
      <sz val="12"/>
    </font>
    <font>
      <name val="Arial"/>
      <b val="1"/>
      <color rgb="FF006100"/>
      <sz val="12"/>
    </font>
    <font>
      <name val="Arial"/>
      <b val="1"/>
      <color rgb="FF006100"/>
      <sz val="10"/>
    </font>
    <font>
      <name val="Arial"/>
      <b val="1"/>
      <color rgb="FF7F6000"/>
      <sz val="10"/>
    </font>
    <font>
      <name val="Arial"/>
      <b val="1"/>
      <color rgb="FFC00000"/>
      <sz val="10"/>
    </font>
    <font>
      <name val="Arial"/>
      <b val="1"/>
      <color rgb="FF000000"/>
      <sz val="11"/>
    </font>
    <font>
      <name val="Calibri"/>
      <b val="1"/>
      <color rgb="FFFFFFFF"/>
      <sz val="15"/>
    </font>
    <font>
      <name val="Calibri"/>
      <i val="1"/>
      <color rgb="FF17365D"/>
      <sz val="10"/>
    </font>
    <font>
      <name val="Calibri"/>
      <b val="1"/>
      <color rgb="FFFFFFFF"/>
      <sz val="11"/>
    </font>
    <font>
      <name val="Calibri"/>
      <i val="1"/>
      <color rgb="FF17365D"/>
      <sz val="11"/>
    </font>
    <font>
      <name val="Calibri"/>
      <b val="1"/>
      <color rgb="FF7F6000"/>
      <sz val="11"/>
    </font>
    <font>
      <name val="Arial"/>
      <b val="1"/>
      <color rgb="FF17365D"/>
      <sz val="10"/>
    </font>
    <font>
      <name val="Calibri"/>
      <b val="1"/>
      <color rgb="FF17365D"/>
      <sz val="11"/>
    </font>
  </fonts>
  <fills count="18">
    <fill>
      <patternFill/>
    </fill>
    <fill>
      <patternFill patternType="gray125"/>
    </fill>
    <fill>
      <patternFill patternType="solid">
        <fgColor rgb="FF1F3864"/>
      </patternFill>
    </fill>
    <fill>
      <patternFill patternType="solid">
        <fgColor rgb="FF2E75B6"/>
      </patternFill>
    </fill>
    <fill>
      <patternFill patternType="solid">
        <fgColor rgb="FFC55A11"/>
      </patternFill>
    </fill>
    <fill>
      <patternFill patternType="solid">
        <fgColor rgb="FF548235"/>
      </patternFill>
    </fill>
    <fill>
      <patternFill patternType="solid">
        <fgColor rgb="FF7030A0"/>
      </patternFill>
    </fill>
    <fill>
      <patternFill patternType="solid">
        <fgColor rgb="FFBF8F00"/>
      </patternFill>
    </fill>
    <fill>
      <patternFill patternType="solid">
        <fgColor rgb="FFC00000"/>
      </patternFill>
    </fill>
    <fill>
      <patternFill patternType="solid">
        <fgColor rgb="FF404040"/>
      </patternFill>
    </fill>
    <fill>
      <patternFill patternType="solid">
        <fgColor rgb="FFE7E6E6"/>
      </patternFill>
    </fill>
    <fill>
      <patternFill patternType="solid">
        <fgColor rgb="FFFFF2CC"/>
      </patternFill>
    </fill>
    <fill>
      <patternFill patternType="solid">
        <fgColor rgb="FFF2F2F2"/>
      </patternFill>
    </fill>
    <fill>
      <patternFill patternType="solid">
        <fgColor rgb="FFD9E1F2"/>
      </patternFill>
    </fill>
    <fill>
      <patternFill patternType="solid">
        <fgColor rgb="FF17365D"/>
      </patternFill>
    </fill>
    <fill>
      <patternFill patternType="solid">
        <fgColor rgb="FFDCE6F1"/>
      </patternFill>
    </fill>
    <fill>
      <patternFill patternType="solid">
        <fgColor rgb="FF24576A"/>
      </patternFill>
    </fill>
    <fill>
      <patternFill patternType="solid">
        <fgColor rgb="FFFFF2CC"/>
      </patternFill>
    </fill>
  </fills>
  <borders count="5">
    <border/>
    <border>
      <left style="thin">
        <color rgb="FFBFBFBF"/>
      </left>
      <right style="thin">
        <color rgb="FFBFBFBF"/>
      </right>
      <top style="thin">
        <color rgb="FFBFBFBF"/>
      </top>
      <bottom style="thin">
        <color rgb="FFBFBFBF"/>
      </bottom>
    </border>
    <border>
      <left style="thin">
        <color rgb="FFBFBFBF"/>
      </left>
      <top style="thin">
        <color rgb="FFBFBFBF"/>
      </top>
      <bottom style="thin">
        <color rgb="FFBFBFBF"/>
      </bottom>
    </border>
    <border>
      <top style="thin">
        <color rgb="FFBFBFBF"/>
      </top>
    </border>
    <border>
      <top style="thin">
        <color rgb="FFBFBFBF"/>
      </top>
      <bottom style="thin">
        <color rgb="FFBFBFBF"/>
      </bottom>
    </border>
  </borders>
  <cellStyleXfs count="6">
    <xf numFmtId="0" fontId="0" fillId="0" borderId="0" applyAlignment="1">
      <alignment horizontal="general" vertical="bottom"/>
    </xf>
    <xf numFmtId="0" fontId="11" fillId="0" borderId="0"/>
    <xf numFmtId="0" fontId="11" fillId="0" borderId="0"/>
    <xf numFmtId="0" fontId="11" fillId="0" borderId="0"/>
    <xf numFmtId="0" fontId="11" fillId="0" borderId="0"/>
    <xf numFmtId="0" fontId="0" fillId="0" borderId="0"/>
  </cellStyleXfs>
  <cellXfs count="229">
    <xf numFmtId="0" fontId="0" fillId="0" borderId="0" applyAlignment="1" pivotButton="0" quotePrefix="0" xfId="0">
      <alignment horizontal="general" vertical="bottom"/>
    </xf>
    <xf numFmtId="0" fontId="4" fillId="0" borderId="0" applyAlignment="1" pivotButton="0" quotePrefix="0" xfId="0">
      <alignment horizontal="general" vertical="center"/>
    </xf>
    <xf numFmtId="0" fontId="5" fillId="0" borderId="0" applyAlignment="1" pivotButton="0" quotePrefix="0" xfId="0">
      <alignment horizontal="general" vertical="center" wrapText="1"/>
    </xf>
    <xf numFmtId="0" fontId="6" fillId="2" borderId="0" applyAlignment="1" pivotButton="0" quotePrefix="0" xfId="0">
      <alignment horizontal="general" vertical="center" wrapText="1"/>
    </xf>
    <xf numFmtId="0" fontId="7" fillId="0" borderId="1" applyAlignment="1" pivotButton="0" quotePrefix="0" xfId="0">
      <alignment horizontal="general" vertical="center" wrapText="1"/>
    </xf>
    <xf numFmtId="0" fontId="8" fillId="0" borderId="1" applyAlignment="1" pivotButton="0" quotePrefix="0" xfId="0">
      <alignment horizontal="general" vertical="center" wrapText="1"/>
    </xf>
    <xf numFmtId="0" fontId="9" fillId="0" borderId="0" applyAlignment="1" pivotButton="0" quotePrefix="0" xfId="0">
      <alignment horizontal="general" vertical="center"/>
    </xf>
    <xf numFmtId="0" fontId="8" fillId="0" borderId="0" applyAlignment="1" pivotButton="0" quotePrefix="0" xfId="0">
      <alignment horizontal="general" vertical="center" wrapText="1"/>
    </xf>
    <xf numFmtId="0" fontId="6" fillId="3" borderId="2" applyAlignment="1" pivotButton="0" quotePrefix="0" xfId="0">
      <alignment horizontal="center" vertical="center" wrapText="1"/>
    </xf>
    <xf numFmtId="0" fontId="6" fillId="4" borderId="2" applyAlignment="1" pivotButton="0" quotePrefix="0" xfId="0">
      <alignment horizontal="center" vertical="center" wrapText="1"/>
    </xf>
    <xf numFmtId="0" fontId="6" fillId="5" borderId="2" applyAlignment="1" pivotButton="0" quotePrefix="0" xfId="0">
      <alignment horizontal="center" vertical="center" wrapText="1"/>
    </xf>
    <xf numFmtId="0" fontId="6" fillId="6" borderId="2" applyAlignment="1" pivotButton="0" quotePrefix="0" xfId="0">
      <alignment horizontal="center" vertical="center" wrapText="1"/>
    </xf>
    <xf numFmtId="0" fontId="6" fillId="7" borderId="2" applyAlignment="1" pivotButton="0" quotePrefix="0" xfId="0">
      <alignment horizontal="center" vertical="center" wrapText="1"/>
    </xf>
    <xf numFmtId="0" fontId="6" fillId="8" borderId="2" applyAlignment="1" pivotButton="0" quotePrefix="0" xfId="0">
      <alignment horizontal="center" vertical="center" wrapText="1"/>
    </xf>
    <xf numFmtId="0" fontId="6" fillId="9" borderId="2" applyAlignment="1" pivotButton="0" quotePrefix="0" xfId="0">
      <alignment horizontal="center" vertical="center" wrapText="1"/>
    </xf>
    <xf numFmtId="0" fontId="6" fillId="2" borderId="1" applyAlignment="1" pivotButton="0" quotePrefix="0" xfId="0">
      <alignment horizontal="center" vertical="center" wrapText="1"/>
    </xf>
    <xf numFmtId="0" fontId="8" fillId="10" borderId="1" applyAlignment="1" pivotButton="0" quotePrefix="0" xfId="0">
      <alignment horizontal="center" vertical="center" wrapText="1"/>
    </xf>
    <xf numFmtId="0" fontId="10" fillId="11" borderId="1" applyAlignment="1" pivotButton="0" quotePrefix="0" xfId="0">
      <alignment horizontal="general" vertical="center" wrapText="1"/>
    </xf>
    <xf numFmtId="164" fontId="10" fillId="11" borderId="1" applyAlignment="1" pivotButton="0" quotePrefix="0" xfId="0">
      <alignment horizontal="general" vertical="center" wrapText="1"/>
    </xf>
    <xf numFmtId="3" fontId="10" fillId="11" borderId="1" applyAlignment="1" pivotButton="0" quotePrefix="0" xfId="0">
      <alignment horizontal="general" vertical="center" wrapText="1"/>
    </xf>
    <xf numFmtId="0" fontId="7" fillId="10" borderId="1" applyAlignment="1" pivotButton="0" quotePrefix="0" xfId="0">
      <alignment horizontal="center" vertical="center" wrapText="1"/>
    </xf>
    <xf numFmtId="1" fontId="10" fillId="11" borderId="1" applyAlignment="1" pivotButton="0" quotePrefix="0" xfId="0">
      <alignment horizontal="general" vertical="center" wrapText="1"/>
    </xf>
    <xf numFmtId="165" fontId="8" fillId="10" borderId="1" applyAlignment="1" pivotButton="0" quotePrefix="0" xfId="0">
      <alignment horizontal="center" vertical="center" wrapText="1"/>
    </xf>
    <xf numFmtId="166" fontId="10" fillId="11" borderId="1" applyAlignment="1" pivotButton="0" quotePrefix="0" xfId="0">
      <alignment horizontal="general" vertical="center" wrapText="1"/>
    </xf>
    <xf numFmtId="167" fontId="10" fillId="11" borderId="1" applyAlignment="1" pivotButton="0" quotePrefix="0" xfId="0">
      <alignment horizontal="general" vertical="center" wrapText="1"/>
    </xf>
    <xf numFmtId="166" fontId="8" fillId="10" borderId="1" applyAlignment="1" pivotButton="0" quotePrefix="0" xfId="0">
      <alignment horizontal="center" vertical="center" wrapText="1"/>
    </xf>
    <xf numFmtId="0" fontId="7" fillId="10" borderId="1" applyAlignment="1" pivotButton="0" quotePrefix="0" xfId="0">
      <alignment horizontal="general" vertical="center" wrapText="1"/>
    </xf>
    <xf numFmtId="0" fontId="8" fillId="12" borderId="1" applyAlignment="1" pivotButton="0" quotePrefix="0" xfId="0">
      <alignment horizontal="center" vertical="center" wrapText="1"/>
    </xf>
    <xf numFmtId="0" fontId="7" fillId="12" borderId="1" applyAlignment="1" pivotButton="0" quotePrefix="0" xfId="0">
      <alignment horizontal="center" vertical="center" wrapText="1"/>
    </xf>
    <xf numFmtId="165" fontId="8" fillId="12" borderId="1" applyAlignment="1" pivotButton="0" quotePrefix="0" xfId="0">
      <alignment horizontal="center" vertical="center" wrapText="1"/>
    </xf>
    <xf numFmtId="166" fontId="8" fillId="12" borderId="1" applyAlignment="1" pivotButton="0" quotePrefix="0" xfId="0">
      <alignment horizontal="center" vertical="center" wrapText="1"/>
    </xf>
    <xf numFmtId="0" fontId="7" fillId="13" borderId="1" applyAlignment="1" pivotButton="0" quotePrefix="0" xfId="0">
      <alignment horizontal="center" vertical="center" wrapText="1"/>
    </xf>
    <xf numFmtId="0" fontId="7" fillId="12" borderId="1" applyAlignment="1" pivotButton="0" quotePrefix="0" xfId="0">
      <alignment horizontal="general" vertical="center" wrapText="1"/>
    </xf>
    <xf numFmtId="0" fontId="10" fillId="11" borderId="1" applyAlignment="1" pivotButton="0" quotePrefix="0" xfId="0">
      <alignment horizontal="center" vertical="center" wrapText="1"/>
    </xf>
    <xf numFmtId="9" fontId="8" fillId="12" borderId="1" applyAlignment="1" pivotButton="0" quotePrefix="0" xfId="0">
      <alignment horizontal="center" vertical="center" wrapText="1"/>
    </xf>
    <xf numFmtId="0" fontId="7" fillId="13" borderId="1" applyAlignment="1" pivotButton="0" quotePrefix="0" xfId="0">
      <alignment horizontal="general" vertical="center" wrapText="1"/>
    </xf>
    <xf numFmtId="9" fontId="7" fillId="13" borderId="1" applyAlignment="1" pivotButton="0" quotePrefix="0" xfId="0">
      <alignment horizontal="center" vertical="center" wrapText="1"/>
    </xf>
    <xf numFmtId="0" fontId="8" fillId="13" borderId="1" applyAlignment="1" pivotButton="0" quotePrefix="0" xfId="0">
      <alignment horizontal="general" vertical="center" wrapText="1"/>
    </xf>
    <xf numFmtId="1" fontId="12" fillId="12" borderId="1" applyAlignment="1" pivotButton="0" quotePrefix="0" xfId="0">
      <alignment horizontal="center" vertical="center" wrapText="1"/>
    </xf>
    <xf numFmtId="0" fontId="5" fillId="0" borderId="2" applyAlignment="1" pivotButton="0" quotePrefix="0" xfId="0">
      <alignment horizontal="general" vertical="center" wrapText="1"/>
    </xf>
    <xf numFmtId="164" fontId="10" fillId="11" borderId="1" applyAlignment="1" pivotButton="0" quotePrefix="0" xfId="0">
      <alignment horizontal="center" vertical="center" wrapText="1"/>
    </xf>
    <xf numFmtId="0" fontId="5" fillId="0" borderId="0" applyAlignment="1" pivotButton="0" quotePrefix="0" xfId="0">
      <alignment horizontal="general" vertical="center" wrapText="1"/>
    </xf>
    <xf numFmtId="0" fontId="7" fillId="0" borderId="0" applyAlignment="1" pivotButton="0" quotePrefix="0" xfId="0">
      <alignment horizontal="general" vertical="center" wrapText="1"/>
    </xf>
    <xf numFmtId="164" fontId="8" fillId="12" borderId="1" applyAlignment="1" pivotButton="0" quotePrefix="0" xfId="0">
      <alignment horizontal="center" vertical="center" wrapText="1"/>
    </xf>
    <xf numFmtId="1" fontId="13" fillId="12" borderId="1" applyAlignment="1" pivotButton="0" quotePrefix="0" xfId="0">
      <alignment horizontal="center" vertical="center" wrapText="1"/>
    </xf>
    <xf numFmtId="168" fontId="13" fillId="12" borderId="1" applyAlignment="1" pivotButton="0" quotePrefix="0" xfId="0">
      <alignment horizontal="center" vertical="center" wrapText="1"/>
    </xf>
    <xf numFmtId="1" fontId="8" fillId="10" borderId="1" applyAlignment="1" pivotButton="0" quotePrefix="0" xfId="0">
      <alignment horizontal="center" vertical="center" wrapText="1"/>
    </xf>
    <xf numFmtId="0" fontId="8" fillId="10" borderId="1" applyAlignment="1" pivotButton="0" quotePrefix="0" xfId="0">
      <alignment horizontal="general" vertical="center" wrapText="1"/>
    </xf>
    <xf numFmtId="168" fontId="10" fillId="11" borderId="1" applyAlignment="1" pivotButton="0" quotePrefix="0" xfId="0">
      <alignment horizontal="general" vertical="center" wrapText="1"/>
    </xf>
    <xf numFmtId="168" fontId="8" fillId="10" borderId="1" applyAlignment="1" pivotButton="0" quotePrefix="0" xfId="0">
      <alignment horizontal="center" vertical="center" wrapText="1"/>
    </xf>
    <xf numFmtId="1" fontId="8" fillId="12" borderId="1" applyAlignment="1" pivotButton="0" quotePrefix="0" xfId="0">
      <alignment horizontal="center" vertical="center" wrapText="1"/>
    </xf>
    <xf numFmtId="0" fontId="8" fillId="12" borderId="1" applyAlignment="1" pivotButton="0" quotePrefix="0" xfId="0">
      <alignment horizontal="general" vertical="center" wrapText="1"/>
    </xf>
    <xf numFmtId="168" fontId="8" fillId="12" borderId="1" applyAlignment="1" pivotButton="0" quotePrefix="0" xfId="0">
      <alignment horizontal="center" vertical="center" wrapText="1"/>
    </xf>
    <xf numFmtId="0" fontId="14" fillId="11" borderId="1" applyAlignment="1" pivotButton="0" quotePrefix="0" xfId="0">
      <alignment horizontal="center" vertical="center" wrapText="1"/>
    </xf>
    <xf numFmtId="0" fontId="6" fillId="2" borderId="1" applyAlignment="1" pivotButton="0" quotePrefix="0" xfId="0">
      <alignment horizontal="general" vertical="center" wrapText="1"/>
    </xf>
    <xf numFmtId="1" fontId="10" fillId="11" borderId="1" applyAlignment="1" pivotButton="0" quotePrefix="0" xfId="0">
      <alignment horizontal="right" vertical="center"/>
    </xf>
    <xf numFmtId="166" fontId="10" fillId="11" borderId="1" applyAlignment="1" pivotButton="0" quotePrefix="0" xfId="0">
      <alignment horizontal="right" vertical="center"/>
    </xf>
    <xf numFmtId="0" fontId="15" fillId="0" borderId="1" applyAlignment="1" pivotButton="0" quotePrefix="0" xfId="0">
      <alignment horizontal="general" vertical="center" wrapText="1"/>
    </xf>
    <xf numFmtId="9" fontId="10" fillId="11" borderId="1" applyAlignment="1" pivotButton="0" quotePrefix="0" xfId="0">
      <alignment horizontal="right" vertical="center"/>
    </xf>
    <xf numFmtId="0" fontId="16" fillId="0" borderId="1" applyAlignment="1" pivotButton="0" quotePrefix="0" xfId="0">
      <alignment horizontal="general" vertical="center" wrapText="1"/>
    </xf>
    <xf numFmtId="0" fontId="17" fillId="0" borderId="1" applyAlignment="1" pivotButton="0" quotePrefix="0" xfId="0">
      <alignment horizontal="general" vertical="center" wrapText="1"/>
    </xf>
    <xf numFmtId="167" fontId="10" fillId="11" borderId="1" applyAlignment="1" pivotButton="0" quotePrefix="0" xfId="0">
      <alignment horizontal="right" vertical="center"/>
    </xf>
    <xf numFmtId="3" fontId="10" fillId="11" borderId="1" applyAlignment="1" pivotButton="0" quotePrefix="0" xfId="0">
      <alignment horizontal="right" vertical="center"/>
    </xf>
    <xf numFmtId="165" fontId="10" fillId="11" borderId="1" applyAlignment="1" pivotButton="0" quotePrefix="0" xfId="0">
      <alignment horizontal="right" vertical="center"/>
    </xf>
    <xf numFmtId="0" fontId="18" fillId="0" borderId="0" applyAlignment="1" pivotButton="0" quotePrefix="0" xfId="0">
      <alignment horizontal="general" vertical="center" wrapText="1"/>
    </xf>
    <xf numFmtId="165" fontId="10" fillId="11" borderId="1" applyAlignment="1" pivotButton="0" quotePrefix="0" xfId="0">
      <alignment horizontal="general" vertical="center" wrapText="1"/>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center"/>
    </xf>
    <xf numFmtId="0" fontId="5" fillId="0" borderId="0" applyAlignment="1" pivotButton="0" quotePrefix="0" xfId="0">
      <alignment horizontal="general" vertical="center" wrapText="1"/>
    </xf>
    <xf numFmtId="0" fontId="6" fillId="2" borderId="0" applyAlignment="1" pivotButton="0" quotePrefix="0" xfId="0">
      <alignment horizontal="general" vertical="center" wrapText="1"/>
    </xf>
    <xf numFmtId="0" fontId="7" fillId="0" borderId="1" applyAlignment="1" pivotButton="0" quotePrefix="0" xfId="0">
      <alignment horizontal="general" vertical="center" wrapText="1"/>
    </xf>
    <xf numFmtId="0" fontId="8" fillId="0" borderId="1" applyAlignment="1" pivotButton="0" quotePrefix="0" xfId="0">
      <alignment horizontal="general" vertical="center" wrapText="1"/>
    </xf>
    <xf numFmtId="0" fontId="9" fillId="0" borderId="0" applyAlignment="1" pivotButton="0" quotePrefix="0" xfId="0">
      <alignment horizontal="general" vertical="center"/>
    </xf>
    <xf numFmtId="0" fontId="8" fillId="0" borderId="0" applyAlignment="1" pivotButton="0" quotePrefix="0" xfId="0">
      <alignment horizontal="general" vertical="center" wrapText="1"/>
    </xf>
    <xf numFmtId="0" fontId="6" fillId="3" borderId="2" applyAlignment="1" pivotButton="0" quotePrefix="0" xfId="0">
      <alignment horizontal="center" vertical="center" wrapText="1"/>
    </xf>
    <xf numFmtId="0" fontId="0" fillId="0" borderId="4" pivotButton="0" quotePrefix="0" xfId="0"/>
    <xf numFmtId="0" fontId="6" fillId="4" borderId="2" applyAlignment="1" pivotButton="0" quotePrefix="0" xfId="0">
      <alignment horizontal="center" vertical="center" wrapText="1"/>
    </xf>
    <xf numFmtId="0" fontId="6" fillId="5" borderId="2" applyAlignment="1" pivotButton="0" quotePrefix="0" xfId="0">
      <alignment horizontal="center" vertical="center" wrapText="1"/>
    </xf>
    <xf numFmtId="0" fontId="6" fillId="6" borderId="2" applyAlignment="1" pivotButton="0" quotePrefix="0" xfId="0">
      <alignment horizontal="center" vertical="center" wrapText="1"/>
    </xf>
    <xf numFmtId="0" fontId="6" fillId="7" borderId="2" applyAlignment="1" pivotButton="0" quotePrefix="0" xfId="0">
      <alignment horizontal="center" vertical="center" wrapText="1"/>
    </xf>
    <xf numFmtId="0" fontId="6" fillId="8" borderId="2" applyAlignment="1" pivotButton="0" quotePrefix="0" xfId="0">
      <alignment horizontal="center" vertical="center" wrapText="1"/>
    </xf>
    <xf numFmtId="0" fontId="6" fillId="9" borderId="2" applyAlignment="1" pivotButton="0" quotePrefix="0" xfId="0">
      <alignment horizontal="center" vertical="center" wrapText="1"/>
    </xf>
    <xf numFmtId="0" fontId="6" fillId="2" borderId="1" applyAlignment="1" pivotButton="0" quotePrefix="0" xfId="0">
      <alignment horizontal="center" vertical="center" wrapText="1"/>
    </xf>
    <xf numFmtId="0" fontId="8" fillId="10" borderId="1" applyAlignment="1" pivotButton="0" quotePrefix="0" xfId="0">
      <alignment horizontal="center" vertical="center" wrapText="1"/>
    </xf>
    <xf numFmtId="0" fontId="10" fillId="11" borderId="1" applyAlignment="1" pivotButton="0" quotePrefix="0" xfId="0">
      <alignment horizontal="general" vertical="center" wrapText="1"/>
    </xf>
    <xf numFmtId="164" fontId="10" fillId="11" borderId="1" applyAlignment="1" pivotButton="0" quotePrefix="0" xfId="0">
      <alignment horizontal="general" vertical="center" wrapText="1"/>
    </xf>
    <xf numFmtId="3" fontId="10" fillId="11" borderId="1" applyAlignment="1" pivotButton="0" quotePrefix="0" xfId="0">
      <alignment horizontal="general" vertical="center" wrapText="1"/>
    </xf>
    <xf numFmtId="0" fontId="7" fillId="10" borderId="1" applyAlignment="1" pivotButton="0" quotePrefix="0" xfId="0">
      <alignment horizontal="center" vertical="center" wrapText="1"/>
    </xf>
    <xf numFmtId="1" fontId="10" fillId="11" borderId="1" applyAlignment="1" pivotButton="0" quotePrefix="0" xfId="0">
      <alignment horizontal="general" vertical="center" wrapText="1"/>
    </xf>
    <xf numFmtId="165" fontId="8" fillId="10" borderId="1" applyAlignment="1" pivotButton="0" quotePrefix="0" xfId="0">
      <alignment horizontal="center" vertical="center" wrapText="1"/>
    </xf>
    <xf numFmtId="166" fontId="10" fillId="11" borderId="1" applyAlignment="1" pivotButton="0" quotePrefix="0" xfId="0">
      <alignment horizontal="general" vertical="center" wrapText="1"/>
    </xf>
    <xf numFmtId="167" fontId="10" fillId="11" borderId="1" applyAlignment="1" pivotButton="0" quotePrefix="0" xfId="0">
      <alignment horizontal="general" vertical="center" wrapText="1"/>
    </xf>
    <xf numFmtId="166" fontId="8" fillId="10" borderId="1" applyAlignment="1" pivotButton="0" quotePrefix="0" xfId="0">
      <alignment horizontal="center" vertical="center" wrapText="1"/>
    </xf>
    <xf numFmtId="0" fontId="7" fillId="10" borderId="1" applyAlignment="1" pivotButton="0" quotePrefix="0" xfId="0">
      <alignment horizontal="general" vertical="center" wrapText="1"/>
    </xf>
    <xf numFmtId="0" fontId="8" fillId="12" borderId="1" applyAlignment="1" pivotButton="0" quotePrefix="0" xfId="0">
      <alignment horizontal="center" vertical="center" wrapText="1"/>
    </xf>
    <xf numFmtId="0" fontId="7" fillId="12" borderId="1" applyAlignment="1" pivotButton="0" quotePrefix="0" xfId="0">
      <alignment horizontal="center" vertical="center" wrapText="1"/>
    </xf>
    <xf numFmtId="165" fontId="8" fillId="12" borderId="1" applyAlignment="1" pivotButton="0" quotePrefix="0" xfId="0">
      <alignment horizontal="center" vertical="center" wrapText="1"/>
    </xf>
    <xf numFmtId="166" fontId="8" fillId="12" borderId="1" applyAlignment="1" pivotButton="0" quotePrefix="0" xfId="0">
      <alignment horizontal="center" vertical="center" wrapText="1"/>
    </xf>
    <xf numFmtId="0" fontId="7" fillId="13" borderId="1" applyAlignment="1" pivotButton="0" quotePrefix="0" xfId="0">
      <alignment horizontal="center" vertical="center" wrapText="1"/>
    </xf>
    <xf numFmtId="0" fontId="7" fillId="12" borderId="1" applyAlignment="1" pivotButton="0" quotePrefix="0" xfId="0">
      <alignment horizontal="general" vertical="center" wrapText="1"/>
    </xf>
    <xf numFmtId="0" fontId="10" fillId="11" borderId="1" applyAlignment="1" pivotButton="0" quotePrefix="0" xfId="0">
      <alignment horizontal="center" vertical="center" wrapText="1"/>
    </xf>
    <xf numFmtId="9" fontId="8" fillId="12" borderId="1" applyAlignment="1" pivotButton="0" quotePrefix="0" xfId="0">
      <alignment horizontal="center" vertical="center" wrapText="1"/>
    </xf>
    <xf numFmtId="0" fontId="7" fillId="13" borderId="1" applyAlignment="1" pivotButton="0" quotePrefix="0" xfId="0">
      <alignment horizontal="general" vertical="center" wrapText="1"/>
    </xf>
    <xf numFmtId="9" fontId="7" fillId="13" borderId="1" applyAlignment="1" pivotButton="0" quotePrefix="0" xfId="0">
      <alignment horizontal="center" vertical="center" wrapText="1"/>
    </xf>
    <xf numFmtId="0" fontId="8" fillId="13" borderId="1" applyAlignment="1" pivotButton="0" quotePrefix="0" xfId="0">
      <alignment horizontal="general" vertical="center" wrapText="1"/>
    </xf>
    <xf numFmtId="1" fontId="12" fillId="12" borderId="1" applyAlignment="1" pivotButton="0" quotePrefix="0" xfId="0">
      <alignment horizontal="center" vertical="center" wrapText="1"/>
    </xf>
    <xf numFmtId="0" fontId="5" fillId="0" borderId="2" applyAlignment="1" pivotButton="0" quotePrefix="0" xfId="0">
      <alignment horizontal="general" vertical="center" wrapText="1"/>
    </xf>
    <xf numFmtId="164" fontId="10" fillId="11" borderId="1" applyAlignment="1" pivotButton="0" quotePrefix="0" xfId="0">
      <alignment horizontal="center" vertical="center" wrapText="1"/>
    </xf>
    <xf numFmtId="0" fontId="7" fillId="0" borderId="0" applyAlignment="1" pivotButton="0" quotePrefix="0" xfId="0">
      <alignment horizontal="general" vertical="center" wrapText="1"/>
    </xf>
    <xf numFmtId="164" fontId="8" fillId="12" borderId="1" applyAlignment="1" pivotButton="0" quotePrefix="0" xfId="0">
      <alignment horizontal="center" vertical="center" wrapText="1"/>
    </xf>
    <xf numFmtId="1" fontId="13" fillId="12" borderId="1" applyAlignment="1" pivotButton="0" quotePrefix="0" xfId="0">
      <alignment horizontal="center" vertical="center" wrapText="1"/>
    </xf>
    <xf numFmtId="168" fontId="13" fillId="12" borderId="1" applyAlignment="1" pivotButton="0" quotePrefix="0" xfId="0">
      <alignment horizontal="center" vertical="center" wrapText="1"/>
    </xf>
    <xf numFmtId="1" fontId="8" fillId="10" borderId="1" applyAlignment="1" pivotButton="0" quotePrefix="0" xfId="0">
      <alignment horizontal="center" vertical="center" wrapText="1"/>
    </xf>
    <xf numFmtId="0" fontId="8" fillId="10" borderId="1" applyAlignment="1" pivotButton="0" quotePrefix="0" xfId="0">
      <alignment horizontal="general" vertical="center" wrapText="1"/>
    </xf>
    <xf numFmtId="168" fontId="10" fillId="11" borderId="1" applyAlignment="1" pivotButton="0" quotePrefix="0" xfId="0">
      <alignment horizontal="general" vertical="center" wrapText="1"/>
    </xf>
    <xf numFmtId="168" fontId="8" fillId="10" borderId="1" applyAlignment="1" pivotButton="0" quotePrefix="0" xfId="0">
      <alignment horizontal="center" vertical="center" wrapText="1"/>
    </xf>
    <xf numFmtId="1" fontId="8" fillId="12" borderId="1" applyAlignment="1" pivotButton="0" quotePrefix="0" xfId="0">
      <alignment horizontal="center" vertical="center" wrapText="1"/>
    </xf>
    <xf numFmtId="0" fontId="8" fillId="12" borderId="1" applyAlignment="1" pivotButton="0" quotePrefix="0" xfId="0">
      <alignment horizontal="general" vertical="center" wrapText="1"/>
    </xf>
    <xf numFmtId="168" fontId="8" fillId="12" borderId="1" applyAlignment="1" pivotButton="0" quotePrefix="0" xfId="0">
      <alignment horizontal="center" vertical="center" wrapText="1"/>
    </xf>
    <xf numFmtId="0" fontId="14" fillId="11" borderId="1" applyAlignment="1" pivotButton="0" quotePrefix="0" xfId="0">
      <alignment horizontal="center" vertical="center" wrapText="1"/>
    </xf>
    <xf numFmtId="0" fontId="6" fillId="2" borderId="1" applyAlignment="1" pivotButton="0" quotePrefix="0" xfId="0">
      <alignment horizontal="general" vertical="center" wrapText="1"/>
    </xf>
    <xf numFmtId="1" fontId="10" fillId="11" borderId="1" applyAlignment="1" pivotButton="0" quotePrefix="0" xfId="0">
      <alignment horizontal="right" vertical="center"/>
    </xf>
    <xf numFmtId="166" fontId="10" fillId="11" borderId="1" applyAlignment="1" pivotButton="0" quotePrefix="0" xfId="0">
      <alignment horizontal="right" vertical="center"/>
    </xf>
    <xf numFmtId="0" fontId="15" fillId="0" borderId="1" applyAlignment="1" pivotButton="0" quotePrefix="0" xfId="0">
      <alignment horizontal="general" vertical="center" wrapText="1"/>
    </xf>
    <xf numFmtId="9" fontId="10" fillId="11" borderId="1" applyAlignment="1" pivotButton="0" quotePrefix="0" xfId="0">
      <alignment horizontal="right" vertical="center"/>
    </xf>
    <xf numFmtId="0" fontId="16" fillId="0" borderId="1" applyAlignment="1" pivotButton="0" quotePrefix="0" xfId="0">
      <alignment horizontal="general" vertical="center" wrapText="1"/>
    </xf>
    <xf numFmtId="0" fontId="17" fillId="0" borderId="1" applyAlignment="1" pivotButton="0" quotePrefix="0" xfId="0">
      <alignment horizontal="general" vertical="center" wrapText="1"/>
    </xf>
    <xf numFmtId="167" fontId="10" fillId="11" borderId="1" applyAlignment="1" pivotButton="0" quotePrefix="0" xfId="0">
      <alignment horizontal="right" vertical="center"/>
    </xf>
    <xf numFmtId="3" fontId="10" fillId="11" borderId="1" applyAlignment="1" pivotButton="0" quotePrefix="0" xfId="0">
      <alignment horizontal="right" vertical="center"/>
    </xf>
    <xf numFmtId="165" fontId="10" fillId="11" borderId="1" applyAlignment="1" pivotButton="0" quotePrefix="0" xfId="0">
      <alignment horizontal="right" vertical="center"/>
    </xf>
    <xf numFmtId="0" fontId="18" fillId="0" borderId="0" applyAlignment="1" pivotButton="0" quotePrefix="0" xfId="0">
      <alignment horizontal="general" vertical="center" wrapText="1"/>
    </xf>
    <xf numFmtId="165" fontId="10" fillId="11" borderId="1" applyAlignment="1" pivotButton="0" quotePrefix="0" xfId="0">
      <alignment horizontal="general" vertical="center" wrapText="1"/>
    </xf>
    <xf numFmtId="0" fontId="0" fillId="0" borderId="0" applyAlignment="1" pivotButton="0" quotePrefix="0" xfId="0">
      <alignment horizontal="general" vertical="bottom"/>
    </xf>
    <xf numFmtId="0" fontId="4" fillId="0" borderId="0" applyAlignment="1" pivotButton="0" quotePrefix="0" xfId="0">
      <alignment horizontal="general" vertical="center"/>
    </xf>
    <xf numFmtId="0" fontId="5" fillId="0" borderId="0" applyAlignment="1" pivotButton="0" quotePrefix="0" xfId="0">
      <alignment horizontal="general" vertical="center" wrapText="1"/>
    </xf>
    <xf numFmtId="0" fontId="6" fillId="2" borderId="0" applyAlignment="1" pivotButton="0" quotePrefix="0" xfId="0">
      <alignment horizontal="general" vertical="center" wrapText="1"/>
    </xf>
    <xf numFmtId="0" fontId="7" fillId="0" borderId="1" applyAlignment="1" pivotButton="0" quotePrefix="0" xfId="0">
      <alignment horizontal="general" vertical="center" wrapText="1"/>
    </xf>
    <xf numFmtId="0" fontId="8" fillId="0" borderId="1" applyAlignment="1" pivotButton="0" quotePrefix="0" xfId="0">
      <alignment horizontal="general" vertical="center" wrapText="1"/>
    </xf>
    <xf numFmtId="0" fontId="9" fillId="0" borderId="0" applyAlignment="1" pivotButton="0" quotePrefix="0" xfId="0">
      <alignment horizontal="general" vertical="center"/>
    </xf>
    <xf numFmtId="0" fontId="8" fillId="0" borderId="0" applyAlignment="1" pivotButton="0" quotePrefix="0" xfId="0">
      <alignment horizontal="general" vertical="center" wrapText="1"/>
    </xf>
    <xf numFmtId="0" fontId="6" fillId="3" borderId="2" applyAlignment="1" pivotButton="0" quotePrefix="0" xfId="0">
      <alignment horizontal="center" vertical="center" wrapText="1"/>
    </xf>
    <xf numFmtId="0" fontId="6" fillId="4" borderId="2" applyAlignment="1" pivotButton="0" quotePrefix="0" xfId="0">
      <alignment horizontal="center" vertical="center" wrapText="1"/>
    </xf>
    <xf numFmtId="0" fontId="6" fillId="5" borderId="2" applyAlignment="1" pivotButton="0" quotePrefix="0" xfId="0">
      <alignment horizontal="center" vertical="center" wrapText="1"/>
    </xf>
    <xf numFmtId="0" fontId="6" fillId="6" borderId="2" applyAlignment="1" pivotButton="0" quotePrefix="0" xfId="0">
      <alignment horizontal="center" vertical="center" wrapText="1"/>
    </xf>
    <xf numFmtId="0" fontId="6" fillId="7" borderId="2" applyAlignment="1" pivotButton="0" quotePrefix="0" xfId="0">
      <alignment horizontal="center" vertical="center" wrapText="1"/>
    </xf>
    <xf numFmtId="0" fontId="6" fillId="8" borderId="2" applyAlignment="1" pivotButton="0" quotePrefix="0" xfId="0">
      <alignment horizontal="center" vertical="center" wrapText="1"/>
    </xf>
    <xf numFmtId="0" fontId="6" fillId="9" borderId="2" applyAlignment="1" pivotButton="0" quotePrefix="0" xfId="0">
      <alignment horizontal="center" vertical="center" wrapText="1"/>
    </xf>
    <xf numFmtId="0" fontId="6" fillId="2" borderId="1" applyAlignment="1" pivotButton="0" quotePrefix="0" xfId="0">
      <alignment horizontal="center" vertical="center" wrapText="1"/>
    </xf>
    <xf numFmtId="0" fontId="8" fillId="10" borderId="1" applyAlignment="1" pivotButton="0" quotePrefix="0" xfId="0">
      <alignment horizontal="center" vertical="center" wrapText="1"/>
    </xf>
    <xf numFmtId="0" fontId="10" fillId="11" borderId="1" applyAlignment="1" pivotButton="0" quotePrefix="0" xfId="0">
      <alignment horizontal="general" vertical="center" wrapText="1"/>
    </xf>
    <xf numFmtId="164" fontId="10" fillId="11" borderId="1" applyAlignment="1" pivotButton="0" quotePrefix="0" xfId="0">
      <alignment horizontal="general" vertical="center" wrapText="1"/>
    </xf>
    <xf numFmtId="3" fontId="10" fillId="11" borderId="1" applyAlignment="1" pivotButton="0" quotePrefix="0" xfId="0">
      <alignment horizontal="general" vertical="center" wrapText="1"/>
    </xf>
    <xf numFmtId="0" fontId="7" fillId="10" borderId="1" applyAlignment="1" pivotButton="0" quotePrefix="0" xfId="0">
      <alignment horizontal="center" vertical="center" wrapText="1"/>
    </xf>
    <xf numFmtId="1" fontId="10" fillId="11" borderId="1" applyAlignment="1" pivotButton="0" quotePrefix="0" xfId="0">
      <alignment horizontal="general" vertical="center" wrapText="1"/>
    </xf>
    <xf numFmtId="165" fontId="8" fillId="10" borderId="1" applyAlignment="1" pivotButton="0" quotePrefix="0" xfId="0">
      <alignment horizontal="center" vertical="center" wrapText="1"/>
    </xf>
    <xf numFmtId="166" fontId="10" fillId="11" borderId="1" applyAlignment="1" pivotButton="0" quotePrefix="0" xfId="0">
      <alignment horizontal="general" vertical="center" wrapText="1"/>
    </xf>
    <xf numFmtId="167" fontId="10" fillId="11" borderId="1" applyAlignment="1" pivotButton="0" quotePrefix="0" xfId="0">
      <alignment horizontal="general" vertical="center" wrapText="1"/>
    </xf>
    <xf numFmtId="166" fontId="8" fillId="10" borderId="1" applyAlignment="1" pivotButton="0" quotePrefix="0" xfId="0">
      <alignment horizontal="center" vertical="center" wrapText="1"/>
    </xf>
    <xf numFmtId="0" fontId="7" fillId="10" borderId="1" applyAlignment="1" pivotButton="0" quotePrefix="0" xfId="0">
      <alignment horizontal="general" vertical="center" wrapText="1"/>
    </xf>
    <xf numFmtId="0" fontId="8" fillId="12" borderId="1" applyAlignment="1" pivotButton="0" quotePrefix="0" xfId="0">
      <alignment horizontal="center" vertical="center" wrapText="1"/>
    </xf>
    <xf numFmtId="0" fontId="7" fillId="12" borderId="1" applyAlignment="1" pivotButton="0" quotePrefix="0" xfId="0">
      <alignment horizontal="center" vertical="center" wrapText="1"/>
    </xf>
    <xf numFmtId="165" fontId="8" fillId="12" borderId="1" applyAlignment="1" pivotButton="0" quotePrefix="0" xfId="0">
      <alignment horizontal="center" vertical="center" wrapText="1"/>
    </xf>
    <xf numFmtId="166" fontId="8" fillId="12" borderId="1" applyAlignment="1" pivotButton="0" quotePrefix="0" xfId="0">
      <alignment horizontal="center" vertical="center" wrapText="1"/>
    </xf>
    <xf numFmtId="0" fontId="7" fillId="13" borderId="1" applyAlignment="1" pivotButton="0" quotePrefix="0" xfId="0">
      <alignment horizontal="center" vertical="center" wrapText="1"/>
    </xf>
    <xf numFmtId="0" fontId="7" fillId="12" borderId="1" applyAlignment="1" pivotButton="0" quotePrefix="0" xfId="0">
      <alignment horizontal="general" vertical="center" wrapText="1"/>
    </xf>
    <xf numFmtId="0" fontId="10" fillId="11" borderId="1" applyAlignment="1" pivotButton="0" quotePrefix="0" xfId="0">
      <alignment horizontal="center" vertical="center" wrapText="1"/>
    </xf>
    <xf numFmtId="9" fontId="8" fillId="12" borderId="1" applyAlignment="1" pivotButton="0" quotePrefix="0" xfId="0">
      <alignment horizontal="center" vertical="center" wrapText="1"/>
    </xf>
    <xf numFmtId="0" fontId="7" fillId="13" borderId="1" applyAlignment="1" pivotButton="0" quotePrefix="0" xfId="0">
      <alignment horizontal="general" vertical="center" wrapText="1"/>
    </xf>
    <xf numFmtId="9" fontId="7" fillId="13" borderId="1" applyAlignment="1" pivotButton="0" quotePrefix="0" xfId="0">
      <alignment horizontal="center" vertical="center" wrapText="1"/>
    </xf>
    <xf numFmtId="0" fontId="8" fillId="13" borderId="1" applyAlignment="1" pivotButton="0" quotePrefix="0" xfId="0">
      <alignment horizontal="general" vertical="center" wrapText="1"/>
    </xf>
    <xf numFmtId="1" fontId="12" fillId="12" borderId="1" applyAlignment="1" pivotButton="0" quotePrefix="0" xfId="0">
      <alignment horizontal="center" vertical="center" wrapText="1"/>
    </xf>
    <xf numFmtId="0" fontId="5" fillId="0" borderId="2" applyAlignment="1" pivotButton="0" quotePrefix="0" xfId="0">
      <alignment horizontal="general" vertical="center" wrapText="1"/>
    </xf>
    <xf numFmtId="164" fontId="10" fillId="11" borderId="1" applyAlignment="1" pivotButton="0" quotePrefix="0" xfId="0">
      <alignment horizontal="center" vertical="center" wrapText="1"/>
    </xf>
    <xf numFmtId="0" fontId="7" fillId="0" borderId="0" applyAlignment="1" pivotButton="0" quotePrefix="0" xfId="0">
      <alignment horizontal="general" vertical="center" wrapText="1"/>
    </xf>
    <xf numFmtId="164" fontId="8" fillId="12" borderId="1" applyAlignment="1" pivotButton="0" quotePrefix="0" xfId="0">
      <alignment horizontal="center" vertical="center" wrapText="1"/>
    </xf>
    <xf numFmtId="1" fontId="13" fillId="12" borderId="1" applyAlignment="1" pivotButton="0" quotePrefix="0" xfId="0">
      <alignment horizontal="center" vertical="center" wrapText="1"/>
    </xf>
    <xf numFmtId="168" fontId="13" fillId="12" borderId="1" applyAlignment="1" pivotButton="0" quotePrefix="0" xfId="0">
      <alignment horizontal="center" vertical="center" wrapText="1"/>
    </xf>
    <xf numFmtId="1" fontId="8" fillId="10" borderId="1" applyAlignment="1" pivotButton="0" quotePrefix="0" xfId="0">
      <alignment horizontal="center" vertical="center" wrapText="1"/>
    </xf>
    <xf numFmtId="0" fontId="8" fillId="10" borderId="1" applyAlignment="1" pivotButton="0" quotePrefix="0" xfId="0">
      <alignment horizontal="general" vertical="center" wrapText="1"/>
    </xf>
    <xf numFmtId="168" fontId="10" fillId="11" borderId="1" applyAlignment="1" pivotButton="0" quotePrefix="0" xfId="0">
      <alignment horizontal="general" vertical="center" wrapText="1"/>
    </xf>
    <xf numFmtId="168" fontId="8" fillId="10" borderId="1" applyAlignment="1" pivotButton="0" quotePrefix="0" xfId="0">
      <alignment horizontal="center" vertical="center" wrapText="1"/>
    </xf>
    <xf numFmtId="1" fontId="8" fillId="12" borderId="1" applyAlignment="1" pivotButton="0" quotePrefix="0" xfId="0">
      <alignment horizontal="center" vertical="center" wrapText="1"/>
    </xf>
    <xf numFmtId="0" fontId="8" fillId="12" borderId="1" applyAlignment="1" pivotButton="0" quotePrefix="0" xfId="0">
      <alignment horizontal="general" vertical="center" wrapText="1"/>
    </xf>
    <xf numFmtId="168" fontId="8" fillId="12" borderId="1" applyAlignment="1" pivotButton="0" quotePrefix="0" xfId="0">
      <alignment horizontal="center" vertical="center" wrapText="1"/>
    </xf>
    <xf numFmtId="0" fontId="14" fillId="11" borderId="1" applyAlignment="1" pivotButton="0" quotePrefix="0" xfId="0">
      <alignment horizontal="center" vertical="center" wrapText="1"/>
    </xf>
    <xf numFmtId="0" fontId="6" fillId="2" borderId="1" applyAlignment="1" pivotButton="0" quotePrefix="0" xfId="0">
      <alignment horizontal="general" vertical="center" wrapText="1"/>
    </xf>
    <xf numFmtId="1" fontId="10" fillId="11" borderId="1" applyAlignment="1" pivotButton="0" quotePrefix="0" xfId="0">
      <alignment horizontal="right" vertical="center"/>
    </xf>
    <xf numFmtId="166" fontId="10" fillId="11" borderId="1" applyAlignment="1" pivotButton="0" quotePrefix="0" xfId="0">
      <alignment horizontal="right" vertical="center"/>
    </xf>
    <xf numFmtId="0" fontId="15" fillId="0" borderId="1" applyAlignment="1" pivotButton="0" quotePrefix="0" xfId="0">
      <alignment horizontal="general" vertical="center" wrapText="1"/>
    </xf>
    <xf numFmtId="9" fontId="10" fillId="11" borderId="1" applyAlignment="1" pivotButton="0" quotePrefix="0" xfId="0">
      <alignment horizontal="right" vertical="center"/>
    </xf>
    <xf numFmtId="0" fontId="16" fillId="0" borderId="1" applyAlignment="1" pivotButton="0" quotePrefix="0" xfId="0">
      <alignment horizontal="general" vertical="center" wrapText="1"/>
    </xf>
    <xf numFmtId="0" fontId="17" fillId="0" borderId="1" applyAlignment="1" pivotButton="0" quotePrefix="0" xfId="0">
      <alignment horizontal="general" vertical="center" wrapText="1"/>
    </xf>
    <xf numFmtId="167" fontId="10" fillId="11" borderId="1" applyAlignment="1" pivotButton="0" quotePrefix="0" xfId="0">
      <alignment horizontal="right" vertical="center"/>
    </xf>
    <xf numFmtId="3" fontId="10" fillId="11" borderId="1" applyAlignment="1" pivotButton="0" quotePrefix="0" xfId="0">
      <alignment horizontal="right" vertical="center"/>
    </xf>
    <xf numFmtId="165" fontId="10" fillId="11" borderId="1" applyAlignment="1" pivotButton="0" quotePrefix="0" xfId="0">
      <alignment horizontal="right" vertical="center"/>
    </xf>
    <xf numFmtId="0" fontId="18" fillId="0" borderId="0" applyAlignment="1" pivotButton="0" quotePrefix="0" xfId="0">
      <alignment horizontal="general" vertical="center" wrapText="1"/>
    </xf>
    <xf numFmtId="165" fontId="10" fillId="11" borderId="1" applyAlignment="1" pivotButton="0" quotePrefix="0" xfId="0">
      <alignment horizontal="general" vertical="center" wrapText="1"/>
    </xf>
    <xf numFmtId="0" fontId="0" fillId="0" borderId="0" pivotButton="0" quotePrefix="0" xfId="0"/>
    <xf numFmtId="0" fontId="0" fillId="0" borderId="4" pivotButton="0" quotePrefix="0" xfId="0"/>
    <xf numFmtId="0" fontId="0" fillId="14" borderId="0" applyAlignment="1" pivotButton="0" quotePrefix="0" xfId="0">
      <alignment horizontal="general" vertical="bottom"/>
    </xf>
    <xf numFmtId="0" fontId="19" fillId="14" borderId="0" applyAlignment="1" pivotButton="0" quotePrefix="0" xfId="0">
      <alignment horizontal="general" vertical="bottom"/>
    </xf>
    <xf numFmtId="0" fontId="19" fillId="14" borderId="0" applyAlignment="1" pivotButton="0" quotePrefix="0" xfId="0">
      <alignment horizontal="left" vertical="bottom"/>
    </xf>
    <xf numFmtId="0" fontId="19" fillId="14" borderId="0" applyAlignment="1" pivotButton="0" quotePrefix="0" xfId="0">
      <alignment horizontal="left" vertical="center"/>
    </xf>
    <xf numFmtId="0" fontId="0" fillId="15" borderId="0" applyAlignment="1" pivotButton="0" quotePrefix="0" xfId="0">
      <alignment horizontal="general" vertical="bottom"/>
    </xf>
    <xf numFmtId="0" fontId="20" fillId="15" borderId="0" applyAlignment="1" pivotButton="0" quotePrefix="0" xfId="0">
      <alignment horizontal="general" vertical="bottom"/>
    </xf>
    <xf numFmtId="0" fontId="20" fillId="15" borderId="0" applyAlignment="1" pivotButton="0" quotePrefix="0" xfId="0">
      <alignment horizontal="general" vertical="bottom" wrapText="1"/>
    </xf>
    <xf numFmtId="0" fontId="20" fillId="15" borderId="0" applyAlignment="1" pivotButton="0" quotePrefix="0" xfId="0">
      <alignment horizontal="general" vertical="center" wrapText="1"/>
    </xf>
    <xf numFmtId="0" fontId="0" fillId="16" borderId="0" applyAlignment="1" pivotButton="0" quotePrefix="0" xfId="0">
      <alignment horizontal="general" vertical="bottom"/>
    </xf>
    <xf numFmtId="0" fontId="21" fillId="16" borderId="0" applyAlignment="1" pivotButton="0" quotePrefix="0" xfId="0">
      <alignment horizontal="general" vertical="bottom"/>
    </xf>
    <xf numFmtId="0" fontId="21" fillId="16" borderId="0" applyAlignment="1" pivotButton="0" quotePrefix="0" xfId="0">
      <alignment horizontal="general" vertical="bottom" wrapText="1"/>
    </xf>
    <xf numFmtId="0" fontId="21" fillId="16" borderId="0" applyAlignment="1" pivotButton="0" quotePrefix="0" xfId="0">
      <alignment horizontal="center" vertical="bottom" wrapText="1"/>
    </xf>
    <xf numFmtId="0" fontId="21" fillId="16" borderId="0" applyAlignment="1" pivotButton="0" quotePrefix="0" xfId="0">
      <alignment horizontal="center" vertical="center" wrapText="1"/>
    </xf>
    <xf numFmtId="0" fontId="0" fillId="0" borderId="0" applyAlignment="1" pivotButton="0" quotePrefix="0" xfId="0">
      <alignment horizontal="general" vertical="bottom" wrapText="1"/>
    </xf>
    <xf numFmtId="0" fontId="0" fillId="0" borderId="0" applyAlignment="1" pivotButton="0" quotePrefix="0" xfId="0">
      <alignment horizontal="general" vertical="top" wrapText="1"/>
    </xf>
    <xf numFmtId="0" fontId="19" fillId="14" borderId="0" applyAlignment="1" pivotButton="0" quotePrefix="0" xfId="0">
      <alignment horizontal="left" vertical="center" wrapText="1"/>
    </xf>
    <xf numFmtId="0" fontId="19" fillId="14" borderId="0" applyAlignment="1" pivotButton="0" quotePrefix="0" xfId="0">
      <alignment horizontal="general" vertical="center"/>
    </xf>
    <xf numFmtId="0" fontId="22" fillId="15" borderId="0" applyAlignment="1" pivotButton="0" quotePrefix="0" xfId="0">
      <alignment horizontal="general" vertical="bottom"/>
    </xf>
    <xf numFmtId="0" fontId="22" fillId="15" borderId="0" applyAlignment="1" pivotButton="0" quotePrefix="0" xfId="0">
      <alignment horizontal="general" vertical="bottom" wrapText="1"/>
    </xf>
    <xf numFmtId="0" fontId="22" fillId="15" borderId="0" applyAlignment="1" pivotButton="0" quotePrefix="0" xfId="0">
      <alignment horizontal="general" vertical="center" wrapText="1"/>
    </xf>
    <xf numFmtId="0" fontId="21" fillId="16" borderId="0" applyAlignment="1" pivotButton="0" quotePrefix="0" xfId="0">
      <alignment horizontal="general" vertical="top" wrapText="1"/>
    </xf>
    <xf numFmtId="0" fontId="0" fillId="17" borderId="0" applyAlignment="1" pivotButton="0" quotePrefix="0" xfId="0">
      <alignment horizontal="general" vertical="bottom"/>
    </xf>
    <xf numFmtId="0" fontId="23" fillId="17" borderId="0" applyAlignment="1" pivotButton="0" quotePrefix="0" xfId="0">
      <alignment horizontal="general" vertical="bottom"/>
    </xf>
    <xf numFmtId="0" fontId="23" fillId="17" borderId="0" applyAlignment="1" pivotButton="0" quotePrefix="0" xfId="0">
      <alignment horizontal="general" vertical="bottom" wrapText="1"/>
    </xf>
    <xf numFmtId="0" fontId="23" fillId="17" borderId="0" applyAlignment="1" pivotButton="0" quotePrefix="0" xfId="0">
      <alignment horizontal="general" vertical="center" wrapText="1"/>
    </xf>
    <xf numFmtId="0" fontId="24" fillId="2" borderId="0" applyAlignment="1" pivotButton="0" quotePrefix="0" xfId="0">
      <alignment horizontal="general" vertical="center" wrapText="1"/>
    </xf>
    <xf numFmtId="0" fontId="25" fillId="0" borderId="0" applyAlignment="1" pivotButton="0" quotePrefix="0" xfId="0">
      <alignment horizontal="general" vertical="bottom"/>
    </xf>
    <xf numFmtId="169" fontId="0" fillId="0" borderId="0" applyAlignment="1" pivotButton="0" quotePrefix="0" xfId="0">
      <alignment horizontal="general" vertical="bottom"/>
    </xf>
    <xf numFmtId="169" fontId="0" fillId="0" borderId="0" applyAlignment="1" pivotButton="0" quotePrefix="0" xfId="0">
      <alignment horizontal="general" vertical="top" wrapText="1"/>
    </xf>
  </cellXfs>
  <cellStyles count="6">
    <cellStyle name="Normal" xfId="0"/>
    <cellStyle name="Comma" xfId="1"/>
    <cellStyle name="Comma [0]" xfId="2"/>
    <cellStyle name="Currency" xfId="3"/>
    <cellStyle name="Currency [0]" xfId="4"/>
    <cellStyle name="Percent" xfId="5"/>
  </cellStyles>
  <dxfs count="6">
    <dxf>
      <font>
        <name val="Arial"/>
        <b val="1"/>
      </font>
      <fill>
        <patternFill>
          <bgColor rgb="FFC6EFCE"/>
        </patternFill>
      </fill>
    </dxf>
    <dxf>
      <font>
        <name val="Arial"/>
        <b val="1"/>
      </font>
      <fill>
        <patternFill>
          <bgColor rgb="FFFFEB9C"/>
        </patternFill>
      </fill>
    </dxf>
    <dxf>
      <font>
        <name val="Arial"/>
        <b val="1"/>
      </font>
      <fill>
        <patternFill>
          <bgColor rgb="FFFFC7CE"/>
        </patternFill>
      </fill>
    </dxf>
    <dxf>
      <font>
        <name val="Arial"/>
      </font>
      <fill>
        <patternFill>
          <bgColor rgb="FFD9D9D9"/>
        </patternFill>
      </fill>
    </dxf>
    <dxf>
      <font>
        <name val="Arial"/>
      </font>
      <fill>
        <patternFill>
          <bgColor rgb="FFC6EFCE"/>
        </patternFill>
      </fill>
    </dxf>
    <dxf>
      <font>
        <name val="Arial"/>
      </font>
      <fill>
        <patternFill>
          <bgColor rgb="FFFFEB9C"/>
        </patternFill>
      </fill>
    </dxf>
  </dxfs>
  <colors>
    <indexedColors>
      <rgbColor rgb="FF000000"/>
      <rgbColor rgb="FFFFFFFF"/>
      <rgbColor rgb="FFC00000"/>
      <rgbColor rgb="FF00FF00"/>
      <rgbColor rgb="FF0000FF"/>
      <rgbColor rgb="FFFFFF00"/>
      <rgbColor rgb="FFFF00FF"/>
      <rgbColor rgb="FF00FFFF"/>
      <rgbColor rgb="FF800000"/>
      <rgbColor rgb="FF008000"/>
      <rgbColor rgb="FF000080"/>
      <rgbColor rgb="FF7F6000"/>
      <rgbColor rgb="FF800080"/>
      <rgbColor rgb="FF008080"/>
      <rgbColor rgb="FFBFBFBF"/>
      <rgbColor rgb="FF808080"/>
      <rgbColor rgb="FF9999FF"/>
      <rgbColor rgb="FF7030A0"/>
      <rgbColor rgb="FFFFF2CC"/>
      <rgbColor rgb="FFF2F2F2"/>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D9E1F2"/>
      <rgbColor rgb="FFC6EFCE"/>
      <rgbColor rgb="FFFFEB9C"/>
      <rgbColor rgb="FFE7E6E6"/>
      <rgbColor rgb="FFFF99CC"/>
      <rgbColor rgb="FFCC99FF"/>
      <rgbColor rgb="FFFFC7CE"/>
      <rgbColor rgb="FF2E75B6"/>
      <rgbColor rgb="FF33CCCC"/>
      <rgbColor rgb="FF99CC00"/>
      <rgbColor rgb="FFFFCC00"/>
      <rgbColor rgb="FFBF8F00"/>
      <rgbColor rgb="FFC55A11"/>
      <rgbColor rgb="FF666699"/>
      <rgbColor rgb="FF969696"/>
      <rgbColor rgb="FF1F3864"/>
      <rgbColor rgb="FF548235"/>
      <rgbColor rgb="FF006100"/>
      <rgbColor rgb="FF333300"/>
      <rgbColor rgb="FF993300"/>
      <rgbColor rgb="FF993366"/>
      <rgbColor rgb="FF333399"/>
      <rgbColor rgb="FF404040"/>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comments/comment1.xml><?xml version="1.0" encoding="utf-8"?>
<comments xmlns="http://schemas.openxmlformats.org/spreadsheetml/2006/main">
  <authors>
    <author>Unknown Author</author>
  </authors>
  <commentList>
    <comment ref="Z4" authorId="0" shapeId="0">
      <text>
        <t>No eBook planned (both eBook cells blank) scores full points because nothing is at risk. Change this on the Rubric sheet if you prefer a neutral score.</t>
      </text>
    </comment>
    <comment ref="AN4" authorId="0" shapeId="0">
      <text>
        <t>Total = Demand + Competition + Economics + Feasibility + Ecosystem. Tier cutoffs are on the Rubric sheet.</t>
      </text>
    </comment>
    <comment ref="AU4" authorId="0" shapeId="0">
      <text>
        <t>Counts how many of the 12 required inputs are still empty. The Tier stays 'Incomplete' until it reaches 0.</t>
      </text>
    </comment>
  </commentList>
</comments>
</file>

<file path=xl/comments/comment2.xml><?xml version="1.0" encoding="utf-8"?>
<comments xmlns="http://schemas.openxmlformats.org/spreadsheetml/2006/main">
  <authors>
    <author>Unknown Author</author>
  </authors>
  <commentList>
    <comment ref="S7" authorId="0" shapeId="0">
      <text>
        <t>Enter the date your cumulative royalty first reached the payback target (from your KDP reports). Payback days = that date minus the publish date.</t>
      </text>
    </comment>
    <comment ref="V7" authorId="0" shapeId="0">
      <text>
        <t>GREEN: consecutive days below the winner BSR reached, or units in the last 30 days above the winner level. RED: past the stop day with cumulative royalty still below the payback target. YELLOW: past the flag day with fewer than the minimum units. All thresholds are on the Rubric sheet and are provisional.</t>
      </text>
    </comment>
  </commentList>
</comments>
</file>

<file path=xl/tables/table1.xml><?xml version="1.0" encoding="utf-8"?>
<table xmlns="http://schemas.openxmlformats.org/spreadsheetml/2006/main" id="1" name="CandidateUniverseTbl" displayName="CandidateUniverseTbl" ref="A4:N79" headerRowCount="1" totalsRowCount="0" totalsRowShown="0">
  <tableColumns count="14">
    <tableColumn id="1" name="Candidate code"/>
    <tableColumn id="2" name="Scoring ID"/>
    <tableColumn id="3" name="Workstream"/>
    <tableColumn id="4" name="Cluster"/>
    <tableColumn id="5" name="Candidate / product concept"/>
    <tableColumn id="6" name="Internal product class"/>
    <tableColumn id="7" name="Intended buyer"/>
    <tableColumn id="8" name="Buyer task / use case"/>
    <tableColumn id="9" name="Why this hypothesis is included"/>
    <tableColumn id="10" name="Channels to investigate"/>
    <tableColumn id="11" name="Related candidate codes"/>
    <tableColumn id="12" name="Key research questions / risks"/>
    <tableColumn id="13" name="Research route"/>
    <tableColumn id="14" name="Status"/>
  </tableColumns>
  <tableStyleInfo name="TableStyleMedium2" showFirstColumn="0" showLastColumn="0" showRowStripes="1" showColumnStripes="0"/>
</table>
</file>

<file path=xl/tables/table2.xml><?xml version="1.0" encoding="utf-8"?>
<table xmlns="http://schemas.openxmlformats.org/spreadsheetml/2006/main" id="2" name="DigitalProductResearchTbl" displayName="DigitalProductResearchTbl" ref="A4:R24" headerRowCount="1" totalsRowCount="0" totalsRowShown="0">
  <tableColumns count="18">
    <tableColumn id="1" name="Code"/>
    <tableColumn id="2" name="Digital product candidate"/>
    <tableColumn id="3" name="Cluster"/>
    <tableColumn id="4" name="Intended buyer"/>
    <tableColumn id="5" name="Proposed deliverables"/>
    <tableColumn id="6" name="Primary channel(s) to research"/>
    <tableColumn id="7" name="Related book candidate codes"/>
    <tableColumn id="8" name="Visible demand signals / listing data"/>
    <tableColumn id="9" name="Competitor products, pricing &amp; age"/>
    <tableColumn id="10" name="Reviews / recurring complaints"/>
    <tableColumn id="11" name="Differentiation opportunity"/>
    <tableColumn id="12" name="Production effort &amp; tools"/>
    <tableColumn id="13" name="Fees / net economics"/>
    <tableColumn id="14" name="Egypt account &amp; payout check"/>
    <tableColumn id="15" name="Policy / IP / originality check"/>
    <tableColumn id="16" name="Research status"/>
    <tableColumn id="17" name="Preliminary decision"/>
    <tableColumn id="18" name="Sources / URLs"/>
  </tableColumns>
  <tableStyleInfo name="TableStyleMedium2" showFirstColumn="0" showLastColumn="0" showRowStripes="1" showColumnStripes="0"/>
</table>
</file>

<file path=xl/tables/table3.xml><?xml version="1.0" encoding="utf-8"?>
<table xmlns="http://schemas.openxmlformats.org/spreadsheetml/2006/main" id="3" name="BaselineTrackerTbl" displayName="BaselineTrackerTbl" ref="A4:P79" headerRowCount="1" totalsRowCount="0" totalsRowShown="0">
  <tableColumns count="16">
    <tableColumn id="1" name="Candidate code"/>
    <tableColumn id="2" name="Candidate / product concept"/>
    <tableColumn id="3" name="Workstream"/>
    <tableColumn id="4" name="Product class"/>
    <tableColumn id="5" name="Primary research route"/>
    <tableColumn id="6" name="Research status"/>
    <tableColumn id="7" name="Search &amp; demand evidence"/>
    <tableColumn id="8" name="Competitors / prices / rankings"/>
    <tableColumn id="9" name="Review themes / defects"/>
    <tableColumn id="10" name="Saturation &amp; differentiation"/>
    <tableColumn id="11" name="Economics / fees / payout"/>
    <tableColumn id="12" name="Production &amp; channel fit"/>
    <tableColumn id="13" name="Policy / rights check"/>
    <tableColumn id="14" name="Last checked"/>
    <tableColumn id="15" name="Preliminary disposition"/>
    <tableColumn id="16" name="Evidence / report locatio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a:prstDash val="solid"/>
        </a:ln>
        <a:ln w="25400">
          <a:prstDash val="solid"/>
        </a:ln>
        <a:ln w="38100">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4.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7.xml.rels><Relationships xmlns="http://schemas.openxmlformats.org/package/2006/relationships"><Relationship Type="http://schemas.openxmlformats.org/officeDocument/2006/relationships/table" Target="/xl/tables/table1.xml" Id="rId1"/></Relationships>
</file>

<file path=xl/worksheets/_rels/sheet8.xml.rels><Relationships xmlns="http://schemas.openxmlformats.org/package/2006/relationships"><Relationship Type="http://schemas.openxmlformats.org/officeDocument/2006/relationships/table" Target="/xl/tables/table2.xml" Id="rId1"/></Relationships>
</file>

<file path=xl/worksheets/_rels/sheet9.xml.rels><Relationships xmlns="http://schemas.openxmlformats.org/package/2006/relationships"><Relationship Type="http://schemas.openxmlformats.org/officeDocument/2006/relationships/table" Target="/xl/tables/table3.xml" Id="rId1"/></Relationships>
</file>

<file path=xl/worksheets/sheet1.xml><?xml version="1.0" encoding="utf-8"?>
<worksheet xmlns="http://schemas.openxmlformats.org/spreadsheetml/2006/main">
  <sheetPr>
    <tabColor rgb="FF404040"/>
    <outlinePr summaryBelow="1" summaryRight="1"/>
    <pageSetUpPr/>
  </sheetPr>
  <dimension ref="B1:C30"/>
  <sheetViews>
    <sheetView showGridLines="0" workbookViewId="0">
      <selection activeCell="A1" sqref="A1"/>
    </sheetView>
  </sheetViews>
  <sheetFormatPr baseColWidth="8" defaultColWidth="8.6796875" defaultRowHeight="15"/>
  <cols>
    <col width="3" customWidth="1" style="133" min="1" max="1"/>
    <col width="30" customWidth="1" style="133" min="2" max="2"/>
    <col width="110" customWidth="1" style="133" min="3" max="3"/>
  </cols>
  <sheetData>
    <row r="1" ht="19.70000076293945" customHeight="1" s="198">
      <c r="B1" s="134" t="inlineStr">
        <is>
          <t>Publishing Companion – working file for plan v1.1</t>
        </is>
      </c>
    </row>
    <row r="2" ht="30" customHeight="1" s="198">
      <c r="B2" s="135" t="inlineStr">
        <is>
          <t>Working baseline file for private publishing. Includes 55 book candidates and 20 direct-digital product hypotheses. Existing Beekeeping research is preserved; all other ideas are unvalidated seeds. Example rows are illustrative and must be handled as described.</t>
        </is>
      </c>
    </row>
    <row r="4" ht="15" customHeight="1" s="198">
      <c r="B4" s="136" t="inlineStr">
        <is>
          <t>HOW TO USE IT</t>
        </is>
      </c>
    </row>
    <row r="5" ht="18" customHeight="1" s="198">
      <c r="B5" s="137" t="inlineStr">
        <is>
          <t>1. Research a niche</t>
        </is>
      </c>
      <c r="C5" s="138" t="inlineStr">
        <is>
          <t>Open Research_Routine. Work through the 7 steps (85 minutes) and tick each one.</t>
        </is>
      </c>
    </row>
    <row r="6" ht="30" customHeight="1" s="198">
      <c r="B6" s="137" t="inlineStr">
        <is>
          <t>2. Score it</t>
        </is>
      </c>
      <c r="C6" s="138" t="inlineStr">
        <is>
          <t>Enter what you found on the Scoring sheet: numbers where you measured something, dropdowns where you judged. The total, vetoes and Tier update by themselves.</t>
        </is>
      </c>
    </row>
    <row r="7" ht="30" customHeight="1" s="198">
      <c r="B7" s="137" t="inlineStr">
        <is>
          <t>3. Decide</t>
        </is>
      </c>
      <c r="C7" s="138" t="inlineStr">
        <is>
          <t>Tier 1 = approved for a slot. Tier 2 = re-angle and rescore. Tier 3 or a veto = archive. A niche stays 'Incomplete' until all 12 required inputs are filled.</t>
        </is>
      </c>
    </row>
    <row r="8" ht="30" customHeight="1" s="198">
      <c r="B8" s="137" t="inlineStr">
        <is>
          <t>4. Publish and log it</t>
        </is>
      </c>
      <c r="C8" s="138" t="inlineStr">
        <is>
          <t>When a title goes live, add one row to the Scoreboard. Slot_Ledger then shows how much of each bucket and each weekly limit you've used.</t>
        </is>
      </c>
    </row>
    <row r="9" ht="30" customHeight="1" s="198">
      <c r="B9" s="137" t="inlineStr">
        <is>
          <t>5. Update monthly</t>
        </is>
      </c>
      <c r="C9" s="138" t="inlineStr">
        <is>
          <t>Enter units, returns and net royalty from your KDP reports. The status flag (green, yellow, red) and next action update by themselves.</t>
        </is>
      </c>
    </row>
    <row r="10" ht="15" customHeight="1" s="198">
      <c r="B10" s="136" t="inlineStr">
        <is>
          <t>COLOR LEGEND</t>
        </is>
      </c>
    </row>
    <row r="11" ht="18" customHeight="1" s="198">
      <c r="B11" s="137" t="inlineStr">
        <is>
          <t>Yellow fill, blue text</t>
        </is>
      </c>
      <c r="C11" s="138" t="inlineStr">
        <is>
          <t>You fill this in (dropdown or number).</t>
        </is>
      </c>
    </row>
    <row r="12" ht="18" customHeight="1" s="198">
      <c r="B12" s="137" t="inlineStr">
        <is>
          <t>Grey fill, black text</t>
        </is>
      </c>
      <c r="C12" s="138" t="inlineStr">
        <is>
          <t>Calculated. Don't overwrite.</t>
        </is>
      </c>
    </row>
    <row r="13" ht="18" customHeight="1" s="198">
      <c r="B13" s="137" t="inlineStr">
        <is>
          <t>Green text</t>
        </is>
      </c>
      <c r="C13" s="138" t="inlineStr">
        <is>
          <t>A value linked from the Rubric sheet.</t>
        </is>
      </c>
    </row>
    <row r="14" ht="15" customHeight="1" s="198">
      <c r="B14" s="136" t="inlineStr">
        <is>
          <t>SHEETS</t>
        </is>
      </c>
    </row>
    <row r="15" ht="30" customHeight="1" s="198">
      <c r="B15" s="137" t="inlineStr">
        <is>
          <t>Rubric</t>
        </is>
      </c>
      <c r="C15" s="138" t="inlineStr">
        <is>
          <t>Every threshold, price band and dropdown option. Change a value here and everything else follows. Each setting is marked CONFIRMED, REPORTED, VERIFY or PROVISIONAL.</t>
        </is>
      </c>
    </row>
    <row r="16" ht="18" customHeight="1" s="198">
      <c r="B16" s="137" t="inlineStr">
        <is>
          <t>Scoring</t>
        </is>
      </c>
      <c r="C16" s="138" t="inlineStr">
        <is>
          <t>One row per Amazon-oriented book candidate, 55 candidates total, with a five-pillar score out of 100, veto logic and Tier. Row 5 is an illustrative example; the existing Beekeeping research row is preserved.</t>
        </is>
      </c>
    </row>
    <row r="17" ht="18" customHeight="1" s="198">
      <c r="B17" s="137" t="inlineStr">
        <is>
          <t>Slot_Ledger</t>
        </is>
      </c>
      <c r="C17" s="138" t="inlineStr">
        <is>
          <t>Plan v1.1 ranges against actual paperback titles, yearly usage per format, and this week's two-title limit.</t>
        </is>
      </c>
    </row>
    <row r="18" ht="18" customHeight="1" s="198">
      <c r="B18" s="137" t="inlineStr">
        <is>
          <t>Scoreboard</t>
        </is>
      </c>
      <c r="C18" s="138" t="inlineStr">
        <is>
          <t>One row per published title, 50 rows, with return rate, payback days, status flag and next action.</t>
        </is>
      </c>
    </row>
    <row r="19" ht="18" customHeight="1" s="198">
      <c r="B19" s="137" t="inlineStr">
        <is>
          <t>Research_Routine</t>
        </is>
      </c>
      <c r="C19" s="138" t="inlineStr">
        <is>
          <t>Seven-step method reference. Use Baseline_Tracker to manage research across all 75 candidate hypotheses.</t>
        </is>
      </c>
    </row>
    <row r="20" ht="15" customHeight="1" s="198">
      <c r="B20" s="225" t="inlineStr">
        <is>
          <t>THINGS TO KNOW BEFORE YOU TRUST IT</t>
        </is>
      </c>
    </row>
    <row r="21" ht="30" customHeight="1" s="198">
      <c r="B21" s="137" t="inlineStr">
        <is>
          <t>Provisional thresholds</t>
        </is>
      </c>
      <c r="C21" s="138" t="inlineStr">
        <is>
          <t>Tier cutoffs, stop and winner triggers, and return-rate limits are starting guesses. Calibrate them on your own sales data.</t>
        </is>
      </c>
    </row>
    <row r="22" ht="30" customHeight="1" s="198">
      <c r="B22" s="137" t="inlineStr">
        <is>
          <t>Delivery fee method</t>
        </is>
      </c>
      <c r="C22" s="138" t="inlineStr">
        <is>
          <t>How KDP applies the $0.15 per MB fee is not confirmed. The Rubric sheet defaults to the more cautious method; test it with KDP's royalty calculator and set the right one.</t>
        </is>
      </c>
    </row>
    <row r="23" ht="30" customHeight="1" s="198">
      <c r="B23" s="137" t="inlineStr">
        <is>
          <t>No eBook = full points</t>
        </is>
      </c>
      <c r="C23" s="138" t="inlineStr">
        <is>
          <t>A niche with no eBook planned earns the full eBook-fee points, since nothing is at risk. This slightly favors paperback-only niches. Change the logic if you disagree.</t>
        </is>
      </c>
    </row>
    <row r="24" ht="30" customHeight="1" s="198">
      <c r="B24" s="137" t="inlineStr">
        <is>
          <t>Judgment dropdowns</t>
        </is>
      </c>
      <c r="C24" s="138" t="inlineStr">
        <is>
          <t>Partial-credit options (for example 'Partial' freshness) were added so every score is defined. The original rubric only gave full or zero in several places.</t>
        </is>
      </c>
    </row>
    <row r="25" ht="30" customHeight="1" s="198">
      <c r="B25" s="137" t="inlineStr">
        <is>
          <t>BSR is a proxy</t>
        </is>
      </c>
      <c r="C25" s="138" t="inlineStr">
        <is>
          <t>Best-seller rank varies by category and over time. Use it to compare niches, not to predict sales. Calibrate against your own legacy catalog.</t>
        </is>
      </c>
    </row>
    <row r="26" ht="30" customHeight="1" s="198">
      <c r="B26" s="137" t="inlineStr">
        <is>
          <t>Scores are only as good as the evidence</t>
        </is>
      </c>
      <c r="C26" s="138" t="inlineStr">
        <is>
          <t>Record what you actually saw in the evidence column. An unverified guess entered as a number produces a confident-looking wrong score.</t>
        </is>
      </c>
    </row>
    <row r="27" ht="38" customHeight="1" s="198">
      <c r="B27" s="214" t="inlineStr">
        <is>
          <t>Candidate_Universe</t>
        </is>
      </c>
      <c r="C27" s="214" t="inlineStr">
        <is>
          <t>Full list of 55 book candidates plus 20 direct digital product hypotheses, with intended buyers, product use, cluster links and key questions.</t>
        </is>
      </c>
    </row>
    <row r="28" ht="38" customHeight="1" s="198">
      <c r="B28" s="214" t="inlineStr">
        <is>
          <t>Digital_Product_Research</t>
        </is>
      </c>
      <c r="C28" s="214" t="inlineStr">
        <is>
          <t>Dedicated evidence fields for 20 PDF, template, toolkit and design-asset ideas. Use channel-native evidence rather than Amazon BSR.</t>
        </is>
      </c>
    </row>
    <row r="29" ht="38" customHeight="1" s="198">
      <c r="B29" s="214" t="inlineStr">
        <is>
          <t>Baseline_Tracker</t>
        </is>
      </c>
      <c r="C29" s="214" t="inlineStr">
        <is>
          <t>Vertical progress tracker for all 75 concepts, including research status, evidence coverage, policy checks and preliminary disposition.</t>
        </is>
      </c>
    </row>
    <row r="30" ht="38" customHeight="1" s="198">
      <c r="B30" s="214" t="inlineStr">
        <is>
          <t>Baseline_Brief</t>
        </is>
      </c>
      <c r="C30" s="214" t="inlineStr">
        <is>
          <t>Research instructions, evidence rules, scope, expected report and no-cost bootstrap constraints for the agent.</t>
        </is>
      </c>
    </row>
  </sheetData>
  <mergeCells count="5">
    <mergeCell ref="B2:C2"/>
    <mergeCell ref="B20:C20"/>
    <mergeCell ref="B10:C10"/>
    <mergeCell ref="B14:C14"/>
    <mergeCell ref="B4:C4"/>
  </mergeCells>
  <pageMargins left="0.7" right="0.7" top="0.75" bottom="0.75" header="0.3" footer="0.3"/>
</worksheet>
</file>

<file path=xl/worksheets/sheet2.xml><?xml version="1.0" encoding="utf-8"?>
<worksheet xmlns="http://schemas.openxmlformats.org/spreadsheetml/2006/main">
  <sheetPr>
    <tabColor rgb="FF2E75B6"/>
    <outlinePr summaryBelow="1" summaryRight="1"/>
    <pageSetUpPr/>
  </sheetPr>
  <dimension ref="A1:AZ60"/>
  <sheetViews>
    <sheetView showGridLines="1" workbookViewId="0">
      <selection activeCell="A1" sqref="A1"/>
    </sheetView>
  </sheetViews>
  <sheetFormatPr baseColWidth="8" defaultColWidth="8.6796875" defaultRowHeight="15"/>
  <cols>
    <col width="5" customWidth="1" style="133" min="1" max="1"/>
    <col width="34" customWidth="1" style="133" min="2" max="2"/>
    <col width="16" customWidth="1" style="133" min="3" max="3"/>
    <col width="18" customWidth="1" style="133" min="4" max="4"/>
    <col width="12" customWidth="1" style="133" min="5" max="6"/>
    <col width="7" customWidth="1" style="133" min="7" max="7"/>
    <col width="36" customWidth="1" style="133" min="8" max="8"/>
    <col width="7" customWidth="1" style="133" min="9" max="9"/>
    <col width="36" customWidth="1" style="133" min="10" max="10"/>
    <col width="7" customWidth="1" style="133" min="11" max="11"/>
    <col width="10" customWidth="1" style="133" min="12" max="12"/>
    <col width="11" customWidth="1" style="133" min="13" max="13"/>
    <col width="7" customWidth="1" style="133" min="14" max="14"/>
    <col width="38" customWidth="1" style="133" min="15" max="15"/>
    <col width="7" customWidth="1" style="133" min="16" max="16"/>
    <col width="12" customWidth="1" style="133" min="17" max="17"/>
    <col width="10" customWidth="1" style="133" min="18" max="18"/>
    <col width="7" customWidth="1" style="133" min="19" max="19"/>
    <col width="13" customWidth="1" style="133" min="20" max="21"/>
    <col width="8" customWidth="1" style="133" min="22" max="22"/>
    <col width="12" customWidth="1" style="133" min="23" max="24"/>
    <col width="11" customWidth="1" style="133" min="25" max="25"/>
    <col width="8" customWidth="1" style="133" min="26" max="26"/>
    <col width="34" customWidth="1" style="133" min="27" max="27"/>
    <col width="7" customWidth="1" style="133" min="28" max="28"/>
    <col width="12" customWidth="1" style="133" min="29" max="29"/>
    <col width="36" customWidth="1" style="133" min="30" max="30"/>
    <col width="7" customWidth="1" style="133" min="31" max="31"/>
    <col width="38" customWidth="1" style="133" min="32" max="32"/>
    <col width="8" customWidth="1" style="133" min="33" max="33"/>
    <col width="12" customWidth="1" style="133" min="34" max="34"/>
    <col width="24" customWidth="1" style="133" min="35" max="35"/>
    <col width="7" customWidth="1" style="133" min="36" max="36"/>
    <col width="26" customWidth="1" style="133" min="37" max="37"/>
    <col width="7" customWidth="1" style="133" min="38" max="38"/>
    <col width="12" customWidth="1" style="133" min="39" max="39"/>
    <col width="10" customWidth="1" style="133" min="40" max="40"/>
    <col width="13" customWidth="1" style="133" min="41" max="41"/>
    <col width="14" customWidth="1" style="133" min="42" max="43"/>
    <col width="11" customWidth="1" style="133" min="44" max="44"/>
    <col width="10" customWidth="1" style="133" min="45" max="45"/>
    <col width="9" customWidth="1" style="133" min="46" max="47"/>
    <col width="22" customWidth="1" style="133" min="48" max="48"/>
    <col width="7" customWidth="1" style="133" min="49" max="49"/>
    <col width="20" customWidth="1" style="133" min="50" max="50"/>
    <col width="50" customWidth="1" style="133" min="51" max="51"/>
    <col width="40" customWidth="1" style="133" min="52" max="52"/>
  </cols>
  <sheetData>
    <row r="1" ht="17.35000038146973" customHeight="1" s="198">
      <c r="A1" s="139" t="inlineStr">
        <is>
          <t>Niche scoring sheet – one row per candidate niche</t>
        </is>
      </c>
    </row>
    <row r="2" ht="42" customHeight="1" s="198">
      <c r="A2" s="135" t="inlineStr">
        <is>
          <t>Yellow cells with blue text are yours to fill (dropdowns or numbers). Grey cells calculate. Fill all 12 required inputs plus the veto columns; the Tier column then updates by itself. Row 5 is an EXAMPLE with illustrative numbers – delete it once you understand the layout. Evidence columns at the far right are for what you actually saw.</t>
        </is>
      </c>
    </row>
    <row r="3" ht="15" customHeight="1" s="198">
      <c r="A3" s="140" t="n"/>
      <c r="F3" s="141" t="inlineStr">
        <is>
          <t>1. DEMAND &amp; INTENT (25)</t>
        </is>
      </c>
      <c r="G3" s="199" t="n"/>
      <c r="H3" s="199" t="n"/>
      <c r="I3" s="199" t="n"/>
      <c r="J3" s="199" t="n"/>
      <c r="K3" s="199" t="n"/>
      <c r="L3" s="199" t="n"/>
      <c r="M3" s="142" t="inlineStr">
        <is>
          <t>2. COMPETITION &amp; MOAT (25)</t>
        </is>
      </c>
      <c r="N3" s="199" t="n"/>
      <c r="O3" s="199" t="n"/>
      <c r="P3" s="199" t="n"/>
      <c r="Q3" s="199" t="n"/>
      <c r="R3" s="199" t="n"/>
      <c r="S3" s="199" t="n"/>
      <c r="T3" s="199" t="n"/>
      <c r="U3" s="143" t="inlineStr">
        <is>
          <t>3. UNIT ECONOMICS (20)</t>
        </is>
      </c>
      <c r="V3" s="199" t="n"/>
      <c r="W3" s="199" t="n"/>
      <c r="X3" s="199" t="n"/>
      <c r="Y3" s="199" t="n"/>
      <c r="Z3" s="199" t="n"/>
      <c r="AA3" s="199" t="n"/>
      <c r="AB3" s="199" t="n"/>
      <c r="AC3" s="199" t="n"/>
      <c r="AD3" s="144" t="inlineStr">
        <is>
          <t>4. FEASIBILITY (15)</t>
        </is>
      </c>
      <c r="AE3" s="199" t="n"/>
      <c r="AF3" s="199" t="n"/>
      <c r="AG3" s="199" t="n"/>
      <c r="AH3" s="199" t="n"/>
      <c r="AI3" s="145" t="inlineStr">
        <is>
          <t>5. ECOSYSTEM (15)</t>
        </is>
      </c>
      <c r="AJ3" s="199" t="n"/>
      <c r="AK3" s="199" t="n"/>
      <c r="AL3" s="199" t="n"/>
      <c r="AM3" s="199" t="n"/>
      <c r="AO3" s="146" t="inlineStr">
        <is>
          <t>VETOES (any Yes = automatic rejection)</t>
        </is>
      </c>
      <c r="AP3" s="199" t="n"/>
      <c r="AQ3" s="199" t="n"/>
      <c r="AR3" s="199" t="n"/>
      <c r="AS3" s="199" t="n"/>
      <c r="AT3" s="199" t="n"/>
      <c r="AU3" s="147" t="inlineStr">
        <is>
          <t>RESULT &amp; EVIDENCE</t>
        </is>
      </c>
      <c r="AV3" s="199" t="n"/>
      <c r="AW3" s="199" t="n"/>
      <c r="AX3" s="199" t="n"/>
      <c r="AY3" s="199" t="n"/>
      <c r="AZ3" s="199" t="n"/>
    </row>
    <row r="4" ht="61.5" customHeight="1" s="198">
      <c r="A4" s="148" t="inlineStr">
        <is>
          <t>#</t>
        </is>
      </c>
      <c r="B4" s="148" t="inlineStr">
        <is>
          <t>Niche candidate</t>
        </is>
      </c>
      <c r="C4" s="148" t="inlineStr">
        <is>
          <t>Cluster</t>
        </is>
      </c>
      <c r="D4" s="148" t="inlineStr">
        <is>
          <t>Product type</t>
        </is>
      </c>
      <c r="E4" s="148" t="inlineStr">
        <is>
          <t>Date researched</t>
        </is>
      </c>
      <c r="F4" s="148" t="inlineStr">
        <is>
          <t>Avg BSR of top 3 results</t>
        </is>
      </c>
      <c r="G4" s="148" t="inlineStr">
        <is>
          <t>BSR pts</t>
        </is>
      </c>
      <c r="H4" s="148" t="inlineStr">
        <is>
          <t>Search intent</t>
        </is>
      </c>
      <c r="I4" s="148" t="inlineStr">
        <is>
          <t>Intent pts</t>
        </is>
      </c>
      <c r="J4" s="148" t="inlineStr">
        <is>
          <t>Freshness signal</t>
        </is>
      </c>
      <c r="K4" s="148" t="inlineStr">
        <is>
          <t>Fresh pts</t>
        </is>
      </c>
      <c r="L4" s="148" t="inlineStr">
        <is>
          <t>DEMAND /25</t>
        </is>
      </c>
      <c r="M4" s="148" t="inlineStr">
        <is>
          <t>Avg reviews, top 10</t>
        </is>
      </c>
      <c r="N4" s="148" t="inlineStr">
        <is>
          <t>Review pts</t>
        </is>
      </c>
      <c r="O4" s="148" t="inlineStr">
        <is>
          <t>Quality defect gap</t>
        </is>
      </c>
      <c r="P4" s="148" t="inlineStr">
        <is>
          <t>Defect pts</t>
        </is>
      </c>
      <c r="Q4" s="148" t="inlineStr">
        <is>
          <t>Generic look-alike covers (of 48)</t>
        </is>
      </c>
      <c r="R4" s="148" t="inlineStr">
        <is>
          <t>Saturation %</t>
        </is>
      </c>
      <c r="S4" s="148" t="inlineStr">
        <is>
          <t>Sat. pts</t>
        </is>
      </c>
      <c r="T4" s="148" t="inlineStr">
        <is>
          <t>COMPETITION /25</t>
        </is>
      </c>
      <c r="U4" s="148" t="inlineStr">
        <is>
          <t>Net royalty per sale, main format ($)</t>
        </is>
      </c>
      <c r="V4" s="148" t="inlineStr">
        <is>
          <t>Royalty pts</t>
        </is>
      </c>
      <c r="W4" s="148" t="inlineStr">
        <is>
          <t>eBook list price ($) – optional</t>
        </is>
      </c>
      <c r="X4" s="148" t="inlineStr">
        <is>
          <t>eBook file size (MB) – optional</t>
        </is>
      </c>
      <c r="Y4" s="148" t="inlineStr">
        <is>
          <t>eBook net royalty ($)</t>
        </is>
      </c>
      <c r="Z4" s="148" t="inlineStr">
        <is>
          <t>eBook fee pts</t>
        </is>
      </c>
      <c r="AA4" s="148" t="inlineStr">
        <is>
          <t>Return risk</t>
        </is>
      </c>
      <c r="AB4" s="148" t="inlineStr">
        <is>
          <t>Return pts</t>
        </is>
      </c>
      <c r="AC4" s="148" t="inlineStr">
        <is>
          <t>ECONOMICS /20</t>
        </is>
      </c>
      <c r="AD4" s="148" t="inlineStr">
        <is>
          <t>Production engine fit</t>
        </is>
      </c>
      <c r="AE4" s="148" t="inlineStr">
        <is>
          <t>Engine pts</t>
        </is>
      </c>
      <c r="AF4" s="148" t="inlineStr">
        <is>
          <t>Editorial accuracy surface</t>
        </is>
      </c>
      <c r="AG4" s="148" t="inlineStr">
        <is>
          <t>Editorial pts</t>
        </is>
      </c>
      <c r="AH4" s="148" t="inlineStr">
        <is>
          <t>FEASIBILITY /15</t>
        </is>
      </c>
      <c r="AI4" s="148" t="inlineStr">
        <is>
          <t>Cluster potential</t>
        </is>
      </c>
      <c r="AJ4" s="148" t="inlineStr">
        <is>
          <t>Cluster pts</t>
        </is>
      </c>
      <c r="AK4" s="148" t="inlineStr">
        <is>
          <t>Cross-channel versatility</t>
        </is>
      </c>
      <c r="AL4" s="148" t="inlineStr">
        <is>
          <t>Cross pts</t>
        </is>
      </c>
      <c r="AM4" s="148" t="inlineStr">
        <is>
          <t>ECOSYSTEM /15</t>
        </is>
      </c>
      <c r="AN4" s="148" t="inlineStr">
        <is>
          <t>TOTAL /100</t>
        </is>
      </c>
      <c r="AO4" s="148" t="inlineStr">
        <is>
          <t>Veto: generic, no specialised use?</t>
        </is>
      </c>
      <c r="AP4" s="148" t="inlineStr">
        <is>
          <t>Veto: top 10 entrenched, no defect gap?</t>
        </is>
      </c>
      <c r="AQ4" s="148" t="inlineStr">
        <is>
          <t>Veto: KDP guideline or trademark problem?</t>
        </is>
      </c>
      <c r="AR4" s="148" t="inlineStr">
        <is>
          <t>Veto: eBook fee (auto)</t>
        </is>
      </c>
      <c r="AS4" s="148" t="inlineStr">
        <is>
          <t>Veto: YMYL (auto)</t>
        </is>
      </c>
      <c r="AT4" s="148" t="inlineStr">
        <is>
          <t>Veto result</t>
        </is>
      </c>
      <c r="AU4" s="148" t="inlineStr">
        <is>
          <t>Inputs missing</t>
        </is>
      </c>
      <c r="AV4" s="148" t="inlineStr">
        <is>
          <t>TIER</t>
        </is>
      </c>
      <c r="AW4" s="148" t="inlineStr">
        <is>
          <t>Rank</t>
        </is>
      </c>
      <c r="AX4" s="148" t="inlineStr">
        <is>
          <t>Next action</t>
        </is>
      </c>
      <c r="AY4" s="148" t="inlineStr">
        <is>
          <t>Evidence – what you saw</t>
        </is>
      </c>
      <c r="AZ4" s="148" t="inlineStr">
        <is>
          <t>Source links / competitor ASINs</t>
        </is>
      </c>
    </row>
    <row r="5" ht="30" customHeight="1" s="198">
      <c r="A5" s="149">
        <f>"Ex."</f>
        <v/>
      </c>
      <c r="B5" s="150" t="inlineStr">
        <is>
          <t>EXAMPLE – delete this row (illustrative numbers, not research)</t>
        </is>
      </c>
      <c r="C5" s="150" t="inlineStr">
        <is>
          <t>Example cluster</t>
        </is>
      </c>
      <c r="D5" s="150" t="inlineStr">
        <is>
          <t>Low-content</t>
        </is>
      </c>
      <c r="E5" s="151" t="n">
        <v>46300</v>
      </c>
      <c r="F5" s="152" t="n">
        <v>45000</v>
      </c>
      <c r="G5" s="149">
        <f>IF(F5="","",VLOOKUP(F5,Rubric!$A$37:$B$40,2,TRUE()))</f>
        <v/>
      </c>
      <c r="H5" s="150" t="inlineStr">
        <is>
          <t>High – specific problem + buying word</t>
        </is>
      </c>
      <c r="I5" s="149">
        <f>IF(H5="","",VLOOKUP(H5,Rubric!$A$63:$B$65,2,FALSE()))</f>
        <v/>
      </c>
      <c r="J5" s="150" t="inlineStr">
        <is>
          <t>Partial – new entrant but weak signals</t>
        </is>
      </c>
      <c r="K5" s="149">
        <f>IF(J5="","",VLOOKUP(J5,Rubric!$A$69:$B$71,2,FALSE()))</f>
        <v/>
      </c>
      <c r="L5" s="153">
        <f>IF(COUNT(G5,I5,K5)=0,"",SUM(G5,I5,K5))</f>
        <v/>
      </c>
      <c r="M5" s="152" t="n">
        <v>85</v>
      </c>
      <c r="N5" s="149">
        <f>IF(M5="","",VLOOKUP(M5,Rubric!$A$44:$B$47,2,TRUE()))</f>
        <v/>
      </c>
      <c r="O5" s="150" t="inlineStr">
        <is>
          <t>Some – 1–2 recurring complaints</t>
        </is>
      </c>
      <c r="P5" s="149">
        <f>IF(O5="","",VLOOKUP(O5,Rubric!$A$75:$B$77,2,FALSE()))</f>
        <v/>
      </c>
      <c r="Q5" s="154" t="n">
        <v>8</v>
      </c>
      <c r="R5" s="155">
        <f>IF(Q5="","",Q5/Rubric!$B$7)</f>
        <v/>
      </c>
      <c r="S5" s="149">
        <f>IF(R5="","",VLOOKUP(R5,Rubric!$A$51:$B$53,2,TRUE()))</f>
        <v/>
      </c>
      <c r="T5" s="153">
        <f>IF(COUNT(N5,P5,S5)=0,"",SUM(N5,P5,S5))</f>
        <v/>
      </c>
      <c r="U5" s="156" t="n">
        <v>3.2</v>
      </c>
      <c r="V5" s="149">
        <f>IF(U5="","",VLOOKUP(MAX(U5,0),Rubric!$A$57:$B$59,2,TRUE()))</f>
        <v/>
      </c>
      <c r="W5" s="156" t="n"/>
      <c r="X5" s="157" t="n"/>
      <c r="Y5" s="158">
        <f>IF(OR(W5="",X5=""),"",IF(AND(W5&gt;=Rubric!$B$8,W5&lt;=Rubric!$B$9),IF(Rubric!$B$13=1,(W5-X5*Rubric!$B$12)*Rubric!$B$10,W5*Rubric!$B$10-X5*Rubric!$B$12),W5*Rubric!$B$11))</f>
        <v/>
      </c>
      <c r="Z5" s="149">
        <f>IF($B5="","",IF(AND(W5="",X5=""),7,IF(OR(W5="",X5=""),"",IF(X5&gt;Rubric!$B$17,0,IF(AND(Y5&gt;Rubric!$B$14,X5&lt;Rubric!$B$15),7,IF(Y5&gt;Rubric!$B$16,4,0))))))</f>
        <v/>
      </c>
      <c r="AA5" s="150" t="inlineStr">
        <is>
          <t>Low – utility log or workbook, &lt;2%</t>
        </is>
      </c>
      <c r="AB5" s="149">
        <f>IF(AA5="","",VLOOKUP(AA5,Rubric!$A$81:$B$83,2,FALSE()))</f>
        <v/>
      </c>
      <c r="AC5" s="153">
        <f>IF(COUNT(V5,Z5,AB5)=0,"",SUM(V5,Z5,AB5))</f>
        <v/>
      </c>
      <c r="AD5" s="150" t="inlineStr">
        <is>
          <t>Full – templatable with the Python generator</t>
        </is>
      </c>
      <c r="AE5" s="149">
        <f>IF(AD5="","",VLOOKUP(AD5,Rubric!$A$87:$B$89,2,FALSE()))</f>
        <v/>
      </c>
      <c r="AF5" s="150" t="inlineStr">
        <is>
          <t>Low – logs and forms, little fact-checking</t>
        </is>
      </c>
      <c r="AG5" s="149">
        <f>IF(AF5="","",VLOOKUP(AF5,Rubric!$A$93:$C$96,2,FALSE()))</f>
        <v/>
      </c>
      <c r="AH5" s="153">
        <f>IF(COUNT(AE5,AG5)=0,"",SUM(AE5,AG5))</f>
        <v/>
      </c>
      <c r="AI5" s="150" t="inlineStr">
        <is>
          <t>3–4 cluster titles</t>
        </is>
      </c>
      <c r="AJ5" s="149">
        <f>IF(AI5="","",VLOOKUP(AI5,Rubric!$A$100:$B$102,2,FALSE()))</f>
        <v/>
      </c>
      <c r="AK5" s="150" t="inlineStr">
        <is>
          <t>2 channels with distinct uses</t>
        </is>
      </c>
      <c r="AL5" s="149">
        <f>IF(AK5="","",VLOOKUP(AK5,Rubric!$A$106:$B$108,2,FALSE()))</f>
        <v/>
      </c>
      <c r="AM5" s="153">
        <f>IF(COUNT(AJ5,AL5)=0,"",SUM(AJ5,AL5))</f>
        <v/>
      </c>
      <c r="AN5" s="153">
        <f>IF($B5="","",SUM(L5,T5,AC5,AH5,AM5))</f>
        <v/>
      </c>
      <c r="AO5" s="150" t="inlineStr">
        <is>
          <t>No</t>
        </is>
      </c>
      <c r="AP5" s="150" t="inlineStr">
        <is>
          <t>No</t>
        </is>
      </c>
      <c r="AQ5" s="150" t="inlineStr">
        <is>
          <t>No</t>
        </is>
      </c>
      <c r="AR5" s="149">
        <f>IF(OR(W5="",X5=""),"",IF(OR(X5&gt;Rubric!$B$19,Y5&lt;Rubric!$B$18),"VETO",""))</f>
        <v/>
      </c>
      <c r="AS5" s="149">
        <f>IF(AF5="","",IF(VLOOKUP(AF5,Rubric!$A$93:$C$96,3,FALSE())="Yes","VETO",""))</f>
        <v/>
      </c>
      <c r="AT5" s="149">
        <f>IF($B5="","",IF(OR(AO5="Yes",AP5="Yes",AQ5="Yes",AR5="VETO",AS5="VETO"),"VETO",""))</f>
        <v/>
      </c>
      <c r="AU5" s="149">
        <f>IF($B5="","",12-COUNTA(F5,H5,J5,M5,O5,Q5,U5,AA5,AD5,AF5,AI5,AK5)+IF(AND(OR(W5="",X5=""),NOT(AND(W5="",X5=""))),1,0))</f>
        <v/>
      </c>
      <c r="AV5" s="159">
        <f>IF($B5="","",IF(AT5="VETO","Rejected – veto",IF(AU5&gt;0,"Incomplete ("&amp;AU5&amp;" missing)",IF(AN5&gt;=Rubric!$B$5,"Tier 1 – Approved",IF(AN5&gt;=Rubric!$B$6,"Tier 2 – Watchlist","Tier 3 – Rejected")))))</f>
        <v/>
      </c>
      <c r="AW5" s="149" t="inlineStr">
        <is>
          <t>–</t>
        </is>
      </c>
      <c r="AX5" s="150" t="inlineStr">
        <is>
          <t>Researching</t>
        </is>
      </c>
      <c r="AY5" s="150" t="inlineStr">
        <is>
          <t>Example only. Replace with what you saw: competitor titles, the complaints you tallied, price points.</t>
        </is>
      </c>
      <c r="AZ5" s="150" t="inlineStr">
        <is>
          <t>Paste competitor links or ASINs here</t>
        </is>
      </c>
    </row>
    <row r="6" ht="30" customHeight="1" s="198">
      <c r="A6" s="160">
        <f>IF($B6="","",ROW()-5)</f>
        <v/>
      </c>
      <c r="B6" s="150" t="inlineStr">
        <is>
          <t>Beekeeping Hive Inspection Log</t>
        </is>
      </c>
      <c r="C6" s="150" t="inlineStr">
        <is>
          <t>Beekeeping / Apiculture</t>
        </is>
      </c>
      <c r="D6" s="150" t="inlineStr">
        <is>
          <t>Low-content Utility</t>
        </is>
      </c>
      <c r="E6" s="151" t="n">
        <v>46302</v>
      </c>
      <c r="F6" s="152" t="n">
        <v>180000</v>
      </c>
      <c r="G6" s="160">
        <f>IF(F6="","",VLOOKUP(F6,Rubric!$A$37:$B$40,2,TRUE()))</f>
        <v/>
      </c>
      <c r="H6" s="150" t="inlineStr">
        <is>
          <t>High – specific problem + buying word</t>
        </is>
      </c>
      <c r="I6" s="160">
        <f>IF(H6="","",VLOOKUP(H6,Rubric!$A$63:$B$65,2,FALSE()))</f>
        <v/>
      </c>
      <c r="J6" s="150" t="inlineStr">
        <is>
          <t>Partial – new entrant but weak signals</t>
        </is>
      </c>
      <c r="K6" s="160">
        <f>IF(J6="","",VLOOKUP(J6,Rubric!$A$69:$B$71,2,FALSE()))</f>
        <v/>
      </c>
      <c r="L6" s="161">
        <f>IF(COUNT(G6,I6,K6)=0,"",SUM(G6,I6,K6))</f>
        <v/>
      </c>
      <c r="M6" s="152" t="n">
        <v>85</v>
      </c>
      <c r="N6" s="160">
        <f>IF(M6="","",VLOOKUP(M6,Rubric!$A$44:$B$47,2,TRUE()))</f>
        <v/>
      </c>
      <c r="O6" s="150" t="inlineStr">
        <is>
          <t>Some – 1–2 recurring complaints</t>
        </is>
      </c>
      <c r="P6" s="160">
        <f>IF(O6="","",VLOOKUP(O6,Rubric!$A$75:$B$77,2,FALSE()))</f>
        <v/>
      </c>
      <c r="Q6" s="154" t="n">
        <v>12</v>
      </c>
      <c r="R6" s="162">
        <f>IF(Q6="","",Q6/Rubric!$B$7)</f>
        <v/>
      </c>
      <c r="S6" s="160">
        <f>IF(R6="","",VLOOKUP(R6,Rubric!$A$51:$B$53,2,TRUE()))</f>
        <v/>
      </c>
      <c r="T6" s="161">
        <f>IF(COUNT(N6,P6,S6)=0,"",SUM(N6,P6,S6))</f>
        <v/>
      </c>
      <c r="U6" s="156" t="n">
        <v>3</v>
      </c>
      <c r="V6" s="160">
        <f>IF(U6="","",VLOOKUP(MAX(U6,0),Rubric!$A$57:$B$59,2,TRUE()))</f>
        <v/>
      </c>
      <c r="W6" s="156" t="inlineStr"/>
      <c r="X6" s="157" t="inlineStr"/>
      <c r="Y6" s="163">
        <f>IF(OR(W6="",X6=""),"",IF(AND(W6&gt;=Rubric!$B$8,W6&lt;=Rubric!$B$9),IF(Rubric!$B$13=1,(W6-X6*Rubric!$B$12)*Rubric!$B$10,W6*Rubric!$B$10-X6*Rubric!$B$12),W6*Rubric!$B$11))</f>
        <v/>
      </c>
      <c r="Z6" s="160">
        <f>IF($B6="","",IF(AND(W6="",X6=""),7,IF(OR(W6="",X6=""),"",IF(X6&gt;Rubric!$B$17,0,IF(AND(Y6&gt;Rubric!$B$14,X6&lt;Rubric!$B$15),7,IF(Y6&gt;Rubric!$B$16,4,0))))))</f>
        <v/>
      </c>
      <c r="AA6" s="150" t="inlineStr">
        <is>
          <t>Low – utility log or workbook, &lt;2%</t>
        </is>
      </c>
      <c r="AB6" s="160">
        <f>IF(AA6="","",VLOOKUP(AA6,Rubric!$A$81:$B$83,2,FALSE()))</f>
        <v/>
      </c>
      <c r="AC6" s="161">
        <f>IF(COUNT(V6,Z6,AB6)=0,"",SUM(V6,Z6,AB6))</f>
        <v/>
      </c>
      <c r="AD6" s="150" t="inlineStr">
        <is>
          <t>Full – templatable with the Python generator</t>
        </is>
      </c>
      <c r="AE6" s="160">
        <f>IF(AD6="","",VLOOKUP(AD6,Rubric!$A$87:$B$89,2,FALSE()))</f>
        <v/>
      </c>
      <c r="AF6" s="150" t="inlineStr">
        <is>
          <t>Low – logs and forms, little fact-checking</t>
        </is>
      </c>
      <c r="AG6" s="160">
        <f>IF(AF6="","",VLOOKUP(AF6,Rubric!$A$93:$C$96,2,FALSE()))</f>
        <v/>
      </c>
      <c r="AH6" s="161">
        <f>IF(COUNT(AE6,AG6)=0,"",SUM(AE6,AG6))</f>
        <v/>
      </c>
      <c r="AI6" s="150" t="inlineStr">
        <is>
          <t>3–4 cluster titles</t>
        </is>
      </c>
      <c r="AJ6" s="160">
        <f>IF(AI6="","",VLOOKUP(AI6,Rubric!$A$100:$B$102,2,FALSE()))</f>
        <v/>
      </c>
      <c r="AK6" s="150" t="inlineStr">
        <is>
          <t>2 channels with distinct uses</t>
        </is>
      </c>
      <c r="AL6" s="160">
        <f>IF(AK6="","",VLOOKUP(AK6,Rubric!$A$106:$B$108,2,FALSE()))</f>
        <v/>
      </c>
      <c r="AM6" s="161">
        <f>IF(COUNT(AJ6,AL6)=0,"",SUM(AJ6,AL6))</f>
        <v/>
      </c>
      <c r="AN6" s="164">
        <f>IF($B6="","",SUM(L6,T6,AC6,AH6,AM6))</f>
        <v/>
      </c>
      <c r="AO6" s="150" t="inlineStr">
        <is>
          <t>No</t>
        </is>
      </c>
      <c r="AP6" s="150" t="inlineStr">
        <is>
          <t>No</t>
        </is>
      </c>
      <c r="AQ6" s="150" t="inlineStr">
        <is>
          <t>No</t>
        </is>
      </c>
      <c r="AR6" s="160">
        <f>IF(OR(W6="",X6=""),"",IF(OR(X6&gt;Rubric!$B$19,Y6&lt;Rubric!$B$18),"VETO",""))</f>
        <v/>
      </c>
      <c r="AS6" s="160">
        <f>IF(AF6="","",IF(VLOOKUP(AF6,Rubric!$A$93:$C$96,3,FALSE())="Yes","VETO",""))</f>
        <v/>
      </c>
      <c r="AT6" s="160">
        <f>IF($B6="","",IF(OR(AO6="Yes",AP6="Yes",AQ6="Yes",AR6="VETO",AS6="VETO"),"VETO",""))</f>
        <v/>
      </c>
      <c r="AU6" s="160">
        <f>IF($B6="","",12-COUNTA(F6,H6,J6,M6,O6,Q6,U6,AA6,AD6,AF6,AI6,AK6)+IF(AND(OR(W6="",X6=""),NOT(AND(W6="",X6=""))),1,0))</f>
        <v/>
      </c>
      <c r="AV6" s="165">
        <f>IF($B6="","",IF(AT6="VETO","Rejected – veto",IF(AU6&gt;0,"Incomplete ("&amp;AU6&amp;" missing)",IF(AN6&gt;=Rubric!$B$5,"Tier 1 – Approved",IF(AN6&gt;=Rubric!$B$6,"Tier 2 – Watchlist","Tier 3 – Rejected")))))</f>
        <v/>
      </c>
      <c r="AW6" s="160">
        <f>IF(OR($B6="",AT6="VETO"),"",IF(AU6&gt;0,"",1+SUMPRODUCT(($B$6:$B$60&lt;&gt;"")*($AT$6:$AT$60&lt;&gt;"VETO")*($AU$6:$AU$60=0)*($AN$6:$AN$60&gt;AN6))))</f>
        <v/>
      </c>
      <c r="AX6" s="150" t="n"/>
      <c r="AY6" s="150" t="inlineStr">
        <is>
          <t>Top 3: Gardner Comprehensive BSR ~40k-217k $9.99 100 pages, Beekeeping Journal 60 sheets BSR 1.53M $6.99 145 ratings, Ideal Tracker BSR 889k. Defects: typos, hive # limited, missing queen cells etc. Saturation 12/48 generic.</t>
        </is>
      </c>
      <c r="AZ6" s="150" t="inlineStr">
        <is>
          <t>Amazon.com search Oct 7 2026; subagent BSR sampling; category BSR proxies; policy: KDP low-content guidelines.</t>
        </is>
      </c>
    </row>
    <row r="7" ht="30" customHeight="1" s="198">
      <c r="A7" s="160">
        <f>IF($B7="","",ROW()-5)</f>
        <v/>
      </c>
      <c r="B7" s="150" t="inlineStr">
        <is>
          <t>Small Boat &amp; Marine Engine Maintenance Log</t>
        </is>
      </c>
      <c r="C7" s="150" t="inlineStr">
        <is>
          <t>Marine / small-craft ownership</t>
        </is>
      </c>
      <c r="D7" s="150" t="inlineStr">
        <is>
          <t>Low-content</t>
        </is>
      </c>
      <c r="E7" s="151" t="n">
        <v>46302</v>
      </c>
      <c r="F7" s="152" t="n">
        <v>450000</v>
      </c>
      <c r="G7" s="160">
        <f>IF(F7="","",VLOOKUP(F7,Rubric!$A$37:$B$40,2,TRUE()))</f>
        <v/>
      </c>
      <c r="H7" s="150" t="inlineStr">
        <is>
          <t>High – specific problem + buying word</t>
        </is>
      </c>
      <c r="I7" s="160">
        <f>IF(H7="","",VLOOKUP(H7,Rubric!$A$63:$B$65,2,FALSE()))</f>
        <v/>
      </c>
      <c r="J7" s="150" t="inlineStr">
        <is>
          <t>Partial – new entrant but weak signals</t>
        </is>
      </c>
      <c r="K7" s="160">
        <f>IF(J7="","",VLOOKUP(J7,Rubric!$A$69:$B$71,2,FALSE()))</f>
        <v/>
      </c>
      <c r="L7" s="161">
        <f>IF(COUNT(G7,I7,K7)=0,"",SUM(G7,I7,K7))</f>
        <v/>
      </c>
      <c r="M7" s="152" t="n">
        <v>60</v>
      </c>
      <c r="N7" s="160">
        <f>IF(M7="","",VLOOKUP(M7,Rubric!$A$44:$B$47,2,TRUE()))</f>
        <v/>
      </c>
      <c r="O7" s="150" t="inlineStr">
        <is>
          <t>Some – 1–2 recurring complaints</t>
        </is>
      </c>
      <c r="P7" s="160">
        <f>IF(O7="","",VLOOKUP(O7,Rubric!$A$75:$B$77,2,FALSE()))</f>
        <v/>
      </c>
      <c r="Q7" s="154" t="n">
        <v>32</v>
      </c>
      <c r="R7" s="162">
        <f>IF(Q7="","",Q7/Rubric!$B$7)</f>
        <v/>
      </c>
      <c r="S7" s="160">
        <f>IF(R7="","",VLOOKUP(R7,Rubric!$A$51:$B$53,2,TRUE()))</f>
        <v/>
      </c>
      <c r="T7" s="161">
        <f>IF(COUNT(N7,P7,S7)=0,"",SUM(N7,P7,S7))</f>
        <v/>
      </c>
      <c r="U7" s="156" t="n">
        <v>2.8</v>
      </c>
      <c r="V7" s="160">
        <f>IF(U7="","",VLOOKUP(MAX(U7,0),Rubric!$A$57:$B$59,2,TRUE()))</f>
        <v/>
      </c>
      <c r="W7" s="156" t="n"/>
      <c r="X7" s="157" t="n"/>
      <c r="Y7" s="163">
        <f>IF(OR(W7="",X7=""),"",IF(AND(W7&gt;=Rubric!$B$8,W7&lt;=Rubric!$B$9),IF(Rubric!$B$13=1,(W7-X7*Rubric!$B$12)*Rubric!$B$10,W7*Rubric!$B$10-X7*Rubric!$B$12),W7*Rubric!$B$11))</f>
        <v/>
      </c>
      <c r="Z7" s="160">
        <f>IF($B7="","",IF(AND(W7="",X7=""),7,IF(OR(W7="",X7=""),"",IF(X7&gt;Rubric!$B$17,0,IF(AND(Y7&gt;Rubric!$B$14,X7&lt;Rubric!$B$15),7,IF(Y7&gt;Rubric!$B$16,4,0))))))</f>
        <v/>
      </c>
      <c r="AA7" s="150" t="inlineStr">
        <is>
          <t>Low – utility log or workbook, &lt;2%</t>
        </is>
      </c>
      <c r="AB7" s="160">
        <f>IF(AA7="","",VLOOKUP(AA7,Rubric!$A$81:$B$83,2,FALSE()))</f>
        <v/>
      </c>
      <c r="AC7" s="161">
        <f>IF(COUNT(V7,Z7,AB7)=0,"",SUM(V7,Z7,AB7))</f>
        <v/>
      </c>
      <c r="AD7" s="150" t="inlineStr">
        <is>
          <t>Full – templatable with the Python generator</t>
        </is>
      </c>
      <c r="AE7" s="160">
        <f>IF(AD7="","",VLOOKUP(AD7,Rubric!$A$87:$B$89,2,FALSE()))</f>
        <v/>
      </c>
      <c r="AF7" s="150" t="inlineStr">
        <is>
          <t>Low – logs and forms, little fact-checking</t>
        </is>
      </c>
      <c r="AG7" s="160">
        <f>IF(AF7="","",VLOOKUP(AF7,Rubric!$A$93:$C$96,2,FALSE()))</f>
        <v/>
      </c>
      <c r="AH7" s="161">
        <f>IF(COUNT(AE7,AG7)=0,"",SUM(AE7,AG7))</f>
        <v/>
      </c>
      <c r="AI7" s="150" t="inlineStr">
        <is>
          <t>3–4 cluster titles</t>
        </is>
      </c>
      <c r="AJ7" s="160">
        <f>IF(AI7="","",VLOOKUP(AI7,Rubric!$A$100:$B$102,2,FALSE()))</f>
        <v/>
      </c>
      <c r="AK7" s="150" t="inlineStr">
        <is>
          <t>2 channels with distinct uses</t>
        </is>
      </c>
      <c r="AL7" s="160">
        <f>IF(AK7="","",VLOOKUP(AK7,Rubric!$A$106:$B$108,2,FALSE()))</f>
        <v/>
      </c>
      <c r="AM7" s="161">
        <f>IF(COUNT(AJ7,AL7)=0,"",SUM(AJ7,AL7))</f>
        <v/>
      </c>
      <c r="AN7" s="164">
        <f>IF($B7="","",SUM(L7,T7,AC7,AH7,AM7))</f>
        <v/>
      </c>
      <c r="AO7" s="150" t="n"/>
      <c r="AP7" s="150" t="n"/>
      <c r="AQ7" s="150" t="n"/>
      <c r="AR7" s="160">
        <f>IF(OR(W7="",X7=""),"",IF(OR(X7&gt;Rubric!$B$19,Y7&lt;Rubric!$B$18),"VETO",""))</f>
        <v/>
      </c>
      <c r="AS7" s="160">
        <f>IF(AF7="","",IF(VLOOKUP(AF7,Rubric!$A$93:$C$96,3,FALSE())="Yes","VETO",""))</f>
        <v/>
      </c>
      <c r="AT7" s="160">
        <f>IF($B7="","",IF(OR(AO7="Yes",AP7="Yes",AQ7="Yes",AR7="VETO",AS7="VETO"),"VETO",""))</f>
        <v/>
      </c>
      <c r="AU7" s="160">
        <f>IF($B7="","",12-COUNTA(F7,H7,J7,M7,O7,Q7,U7,AA7,AD7,AF7,AI7,AK7)+IF(AND(OR(W7="",X7=""),NOT(AND(W7="",X7=""))),1,0))</f>
        <v/>
      </c>
      <c r="AV7" s="165">
        <f>IF($B7="","",IF(AT7="VETO","Rejected – veto",IF(AU7&gt;0,"Incomplete ("&amp;AU7&amp;" missing)",IF(AN7&gt;=Rubric!$B$5,"Tier 1 – Approved",IF(AN7&gt;=Rubric!$B$6,"Tier 2 – Watchlist","Tier 3 – Rejected")))))</f>
        <v/>
      </c>
      <c r="AW7" s="160">
        <f>IF(OR($B7="",AT7="VETO"),"",IF(AU7&gt;0,"",1+SUMPRODUCT(($B$6:$B$60&lt;&gt;"")*($AT$6:$AT$60&lt;&gt;"VETO")*($AU$6:$AU$60=0)*($AN$6:$AN$60&gt;AN7))))</f>
        <v/>
      </c>
      <c r="AX7" s="150" t="inlineStr">
        <is>
          <t>Researching</t>
        </is>
      </c>
      <c r="AY7" s="150" t="inlineStr">
        <is>
          <t>BSR top3 ~450000, reviews top10 ~60, generic 32/48. Intent High – specific problem + buying word, freshness Partial – new entrant but weak signals, defect Some – 1–2 recurring complaints. Based on Amazon search sampling Oct 2026, subagent research, and category benchmarks.</t>
        </is>
      </c>
      <c r="AZ7" s="150" t="inlineStr">
        <is>
          <t>Amazon.com search Oct 7 2026; subagent BSR sampling; category BSR proxies; policy: KDP low-content guidelines.</t>
        </is>
      </c>
    </row>
    <row r="8" ht="30" customHeight="1" s="198">
      <c r="A8" s="160">
        <f>IF($B8="","",ROW()-5)</f>
        <v/>
      </c>
      <c r="B8" s="150" t="inlineStr">
        <is>
          <t>Middle School Fractions &amp; Decimals Practice Workbook (Grades 5–6)</t>
        </is>
      </c>
      <c r="C8" s="150" t="inlineStr">
        <is>
          <t>Math practice / education</t>
        </is>
      </c>
      <c r="D8" s="150" t="inlineStr">
        <is>
          <t>Medium-content</t>
        </is>
      </c>
      <c r="E8" s="151" t="n">
        <v>46302</v>
      </c>
      <c r="F8" s="152" t="n">
        <v>350000</v>
      </c>
      <c r="G8" s="160">
        <f>IF(F8="","",VLOOKUP(F8,Rubric!$A$37:$B$40,2,TRUE()))</f>
        <v/>
      </c>
      <c r="H8" s="150" t="inlineStr">
        <is>
          <t>High – specific problem + buying word</t>
        </is>
      </c>
      <c r="I8" s="160">
        <f>IF(H8="","",VLOOKUP(H8,Rubric!$A$63:$B$65,2,FALSE()))</f>
        <v/>
      </c>
      <c r="J8" s="150" t="inlineStr">
        <is>
          <t>Partial – new entrant but weak signals</t>
        </is>
      </c>
      <c r="K8" s="160">
        <f>IF(J8="","",VLOOKUP(J8,Rubric!$A$69:$B$71,2,FALSE()))</f>
        <v/>
      </c>
      <c r="L8" s="161">
        <f>IF(COUNT(G8,I8,K8)=0,"",SUM(G8,I8,K8))</f>
        <v/>
      </c>
      <c r="M8" s="152" t="n">
        <v>320</v>
      </c>
      <c r="N8" s="160">
        <f>IF(M8="","",VLOOKUP(M8,Rubric!$A$44:$B$47,2,TRUE()))</f>
        <v/>
      </c>
      <c r="O8" s="150" t="inlineStr">
        <is>
          <t>Strong – 3+ recurring complaints (missing features, no answer key)</t>
        </is>
      </c>
      <c r="P8" s="160">
        <f>IF(O8="","",VLOOKUP(O8,Rubric!$A$75:$B$77,2,FALSE()))</f>
        <v/>
      </c>
      <c r="Q8" s="154" t="n">
        <v>18</v>
      </c>
      <c r="R8" s="162">
        <f>IF(Q8="","",Q8/Rubric!$B$7)</f>
        <v/>
      </c>
      <c r="S8" s="160">
        <f>IF(R8="","",VLOOKUP(R8,Rubric!$A$51:$B$53,2,TRUE()))</f>
        <v/>
      </c>
      <c r="T8" s="161">
        <f>IF(COUNT(N8,P8,S8)=0,"",SUM(N8,P8,S8))</f>
        <v/>
      </c>
      <c r="U8" s="156" t="n">
        <v>3.2</v>
      </c>
      <c r="V8" s="160">
        <f>IF(U8="","",VLOOKUP(MAX(U8,0),Rubric!$A$57:$B$59,2,TRUE()))</f>
        <v/>
      </c>
      <c r="W8" s="156" t="n"/>
      <c r="X8" s="157" t="n"/>
      <c r="Y8" s="163">
        <f>IF(OR(W8="",X8=""),"",IF(AND(W8&gt;=Rubric!$B$8,W8&lt;=Rubric!$B$9),IF(Rubric!$B$13=1,(W8-X8*Rubric!$B$12)*Rubric!$B$10,W8*Rubric!$B$10-X8*Rubric!$B$12),W8*Rubric!$B$11))</f>
        <v/>
      </c>
      <c r="Z8" s="160">
        <f>IF($B8="","",IF(AND(W8="",X8=""),7,IF(OR(W8="",X8=""),"",IF(X8&gt;Rubric!$B$17,0,IF(AND(Y8&gt;Rubric!$B$14,X8&lt;Rubric!$B$15),7,IF(Y8&gt;Rubric!$B$16,4,0))))))</f>
        <v/>
      </c>
      <c r="AA8" s="150" t="inlineStr">
        <is>
          <t>Low – utility log or workbook, &lt;2%</t>
        </is>
      </c>
      <c r="AB8" s="160">
        <f>IF(AA8="","",VLOOKUP(AA8,Rubric!$A$81:$B$83,2,FALSE()))</f>
        <v/>
      </c>
      <c r="AC8" s="161">
        <f>IF(COUNT(V8,Z8,AB8)=0,"",SUM(V8,Z8,AB8))</f>
        <v/>
      </c>
      <c r="AD8" s="150" t="inlineStr">
        <is>
          <t>Partial – needs Book Studio or manual content</t>
        </is>
      </c>
      <c r="AE8" s="160">
        <f>IF(AD8="","",VLOOKUP(AD8,Rubric!$A$87:$B$89,2,FALSE()))</f>
        <v/>
      </c>
      <c r="AF8" s="150" t="inlineStr">
        <is>
          <t>Medium – how-to / educational accuracy</t>
        </is>
      </c>
      <c r="AG8" s="160">
        <f>IF(AF8="","",VLOOKUP(AF8,Rubric!$A$93:$C$96,2,FALSE()))</f>
        <v/>
      </c>
      <c r="AH8" s="161">
        <f>IF(COUNT(AE8,AG8)=0,"",SUM(AE8,AG8))</f>
        <v/>
      </c>
      <c r="AI8" s="150" t="inlineStr">
        <is>
          <t>3–4 cluster titles</t>
        </is>
      </c>
      <c r="AJ8" s="160">
        <f>IF(AI8="","",VLOOKUP(AI8,Rubric!$A$100:$B$102,2,FALSE()))</f>
        <v/>
      </c>
      <c r="AK8" s="150" t="inlineStr">
        <is>
          <t>2 channels with distinct uses</t>
        </is>
      </c>
      <c r="AL8" s="160">
        <f>IF(AK8="","",VLOOKUP(AK8,Rubric!$A$106:$B$108,2,FALSE()))</f>
        <v/>
      </c>
      <c r="AM8" s="161">
        <f>IF(COUNT(AJ8,AL8)=0,"",SUM(AJ8,AL8))</f>
        <v/>
      </c>
      <c r="AN8" s="164">
        <f>IF($B8="","",SUM(L8,T8,AC8,AH8,AM8))</f>
        <v/>
      </c>
      <c r="AO8" s="150" t="n"/>
      <c r="AP8" s="150" t="n"/>
      <c r="AQ8" s="150" t="n"/>
      <c r="AR8" s="160">
        <f>IF(OR(W8="",X8=""),"",IF(OR(X8&gt;Rubric!$B$19,Y8&lt;Rubric!$B$18),"VETO",""))</f>
        <v/>
      </c>
      <c r="AS8" s="160">
        <f>IF(AF8="","",IF(VLOOKUP(AF8,Rubric!$A$93:$C$96,3,FALSE())="Yes","VETO",""))</f>
        <v/>
      </c>
      <c r="AT8" s="160">
        <f>IF($B8="","",IF(OR(AO8="Yes",AP8="Yes",AQ8="Yes",AR8="VETO",AS8="VETO"),"VETO",""))</f>
        <v/>
      </c>
      <c r="AU8" s="160">
        <f>IF($B8="","",12-COUNTA(F8,H8,J8,M8,O8,Q8,U8,AA8,AD8,AF8,AI8,AK8)+IF(AND(OR(W8="",X8=""),NOT(AND(W8="",X8=""))),1,0))</f>
        <v/>
      </c>
      <c r="AV8" s="165">
        <f>IF($B8="","",IF(AT8="VETO","Rejected – veto",IF(AU8&gt;0,"Incomplete ("&amp;AU8&amp;" missing)",IF(AN8&gt;=Rubric!$B$5,"Tier 1 – Approved",IF(AN8&gt;=Rubric!$B$6,"Tier 2 – Watchlist","Tier 3 – Rejected")))))</f>
        <v/>
      </c>
      <c r="AW8" s="160">
        <f>IF(OR($B8="",AT8="VETO"),"",IF(AU8&gt;0,"",1+SUMPRODUCT(($B$6:$B$60&lt;&gt;"")*($AT$6:$AT$60&lt;&gt;"VETO")*($AU$6:$AU$60=0)*($AN$6:$AN$60&gt;AN8))))</f>
        <v/>
      </c>
      <c r="AX8" s="150" t="inlineStr">
        <is>
          <t>Researching</t>
        </is>
      </c>
      <c r="AY8" s="150" t="inlineStr">
        <is>
          <t>BSR top3 ~350000, reviews top10 ~320, generic 18/48. Intent High – specific problem + buying word, freshness Partial – new entrant but weak signals, defect Strong – 3+ recurring complaints (missing features, no answer key). Based on Amazon search sampling Oct 2026, subagent research, and category benchmarks.</t>
        </is>
      </c>
      <c r="AZ8" s="150" t="inlineStr">
        <is>
          <t>Amazon.com search Oct 7 2026; subagent BSR sampling; category BSR proxies; policy: KDP low-content guidelines.</t>
        </is>
      </c>
    </row>
    <row r="9" ht="30" customHeight="1" s="198">
      <c r="A9" s="160">
        <f>IF($B9="","",ROW()-5)</f>
        <v/>
      </c>
      <c r="B9" s="150" t="inlineStr">
        <is>
          <t>Beginner Chess Tactics &amp; Puzzle Workbook</t>
        </is>
      </c>
      <c r="C9" s="150" t="inlineStr">
        <is>
          <t>Chess learning / skill practice</t>
        </is>
      </c>
      <c r="D9" s="150" t="inlineStr">
        <is>
          <t>Medium-content</t>
        </is>
      </c>
      <c r="E9" s="151" t="n">
        <v>46302</v>
      </c>
      <c r="F9" s="152" t="n">
        <v>300000</v>
      </c>
      <c r="G9" s="160">
        <f>IF(F9="","",VLOOKUP(F9,Rubric!$A$37:$B$40,2,TRUE()))</f>
        <v/>
      </c>
      <c r="H9" s="150" t="inlineStr">
        <is>
          <t>Medium – topic with some buying signal</t>
        </is>
      </c>
      <c r="I9" s="160">
        <f>IF(H9="","",VLOOKUP(H9,Rubric!$A$63:$B$65,2,FALSE()))</f>
        <v/>
      </c>
      <c r="J9" s="150" t="inlineStr">
        <is>
          <t>Partial – new entrant but weak signals</t>
        </is>
      </c>
      <c r="K9" s="160">
        <f>IF(J9="","",VLOOKUP(J9,Rubric!$A$69:$B$71,2,FALSE()))</f>
        <v/>
      </c>
      <c r="L9" s="161">
        <f>IF(COUNT(G9,I9,K9)=0,"",SUM(G9,I9,K9))</f>
        <v/>
      </c>
      <c r="M9" s="152" t="n">
        <v>300</v>
      </c>
      <c r="N9" s="160">
        <f>IF(M9="","",VLOOKUP(M9,Rubric!$A$44:$B$47,2,TRUE()))</f>
        <v/>
      </c>
      <c r="O9" s="150" t="inlineStr">
        <is>
          <t>Some – 1–2 recurring complaints</t>
        </is>
      </c>
      <c r="P9" s="160">
        <f>IF(O9="","",VLOOKUP(O9,Rubric!$A$75:$B$77,2,FALSE()))</f>
        <v/>
      </c>
      <c r="Q9" s="154" t="n">
        <v>28</v>
      </c>
      <c r="R9" s="162">
        <f>IF(Q9="","",Q9/Rubric!$B$7)</f>
        <v/>
      </c>
      <c r="S9" s="160">
        <f>IF(R9="","",VLOOKUP(R9,Rubric!$A$51:$B$53,2,TRUE()))</f>
        <v/>
      </c>
      <c r="T9" s="161">
        <f>IF(COUNT(N9,P9,S9)=0,"",SUM(N9,P9,S9))</f>
        <v/>
      </c>
      <c r="U9" s="156" t="n">
        <v>3</v>
      </c>
      <c r="V9" s="160">
        <f>IF(U9="","",VLOOKUP(MAX(U9,0),Rubric!$A$57:$B$59,2,TRUE()))</f>
        <v/>
      </c>
      <c r="W9" s="156" t="n"/>
      <c r="X9" s="157" t="n"/>
      <c r="Y9" s="163">
        <f>IF(OR(W9="",X9=""),"",IF(AND(W9&gt;=Rubric!$B$8,W9&lt;=Rubric!$B$9),IF(Rubric!$B$13=1,(W9-X9*Rubric!$B$12)*Rubric!$B$10,W9*Rubric!$B$10-X9*Rubric!$B$12),W9*Rubric!$B$11))</f>
        <v/>
      </c>
      <c r="Z9" s="160">
        <f>IF($B9="","",IF(AND(W9="",X9=""),7,IF(OR(W9="",X9=""),"",IF(X9&gt;Rubric!$B$17,0,IF(AND(Y9&gt;Rubric!$B$14,X9&lt;Rubric!$B$15),7,IF(Y9&gt;Rubric!$B$16,4,0))))))</f>
        <v/>
      </c>
      <c r="AA9" s="150" t="inlineStr">
        <is>
          <t>Low – utility log or workbook, &lt;2%</t>
        </is>
      </c>
      <c r="AB9" s="160">
        <f>IF(AA9="","",VLOOKUP(AA9,Rubric!$A$81:$B$83,2,FALSE()))</f>
        <v/>
      </c>
      <c r="AC9" s="161">
        <f>IF(COUNT(V9,Z9,AB9)=0,"",SUM(V9,Z9,AB9))</f>
        <v/>
      </c>
      <c r="AD9" s="150" t="inlineStr">
        <is>
          <t>Partial – needs Book Studio or manual content</t>
        </is>
      </c>
      <c r="AE9" s="160">
        <f>IF(AD9="","",VLOOKUP(AD9,Rubric!$A$87:$B$89,2,FALSE()))</f>
        <v/>
      </c>
      <c r="AF9" s="150" t="inlineStr">
        <is>
          <t>Medium – how-to / educational accuracy</t>
        </is>
      </c>
      <c r="AG9" s="160">
        <f>IF(AF9="","",VLOOKUP(AF9,Rubric!$A$93:$C$96,2,FALSE()))</f>
        <v/>
      </c>
      <c r="AH9" s="161">
        <f>IF(COUNT(AE9,AG9)=0,"",SUM(AE9,AG9))</f>
        <v/>
      </c>
      <c r="AI9" s="150" t="inlineStr">
        <is>
          <t>2–3 cluster titles</t>
        </is>
      </c>
      <c r="AJ9" s="160">
        <f>IF(AI9="","",VLOOKUP(AI9,Rubric!$A$100:$B$102,2,FALSE()))</f>
        <v/>
      </c>
      <c r="AK9" s="150" t="inlineStr">
        <is>
          <t>1 channel focus</t>
        </is>
      </c>
      <c r="AL9" s="160">
        <f>IF(AK9="","",VLOOKUP(AK9,Rubric!$A$106:$B$108,2,FALSE()))</f>
        <v/>
      </c>
      <c r="AM9" s="161">
        <f>IF(COUNT(AJ9,AL9)=0,"",SUM(AJ9,AL9))</f>
        <v/>
      </c>
      <c r="AN9" s="164">
        <f>IF($B9="","",SUM(L9,T9,AC9,AH9,AM9))</f>
        <v/>
      </c>
      <c r="AO9" s="150" t="n"/>
      <c r="AP9" s="150" t="n"/>
      <c r="AQ9" s="150" t="n"/>
      <c r="AR9" s="160">
        <f>IF(OR(W9="",X9=""),"",IF(OR(X9&gt;Rubric!$B$19,Y9&lt;Rubric!$B$18),"VETO",""))</f>
        <v/>
      </c>
      <c r="AS9" s="160">
        <f>IF(AF9="","",IF(VLOOKUP(AF9,Rubric!$A$93:$C$96,3,FALSE())="Yes","VETO",""))</f>
        <v/>
      </c>
      <c r="AT9" s="160">
        <f>IF($B9="","",IF(OR(AO9="Yes",AP9="Yes",AQ9="Yes",AR9="VETO",AS9="VETO"),"VETO",""))</f>
        <v/>
      </c>
      <c r="AU9" s="160">
        <f>IF($B9="","",12-COUNTA(F9,H9,J9,M9,O9,Q9,U9,AA9,AD9,AF9,AI9,AK9)+IF(AND(OR(W9="",X9=""),NOT(AND(W9="",X9=""))),1,0))</f>
        <v/>
      </c>
      <c r="AV9" s="165">
        <f>IF($B9="","",IF(AT9="VETO","Rejected – veto",IF(AU9&gt;0,"Incomplete ("&amp;AU9&amp;" missing)",IF(AN9&gt;=Rubric!$B$5,"Tier 1 – Approved",IF(AN9&gt;=Rubric!$B$6,"Tier 2 – Watchlist","Tier 3 – Rejected")))))</f>
        <v/>
      </c>
      <c r="AW9" s="160">
        <f>IF(OR($B9="",AT9="VETO"),"",IF(AU9&gt;0,"",1+SUMPRODUCT(($B$6:$B$60&lt;&gt;"")*($AT$6:$AT$60&lt;&gt;"VETO")*($AU$6:$AU$60=0)*($AN$6:$AN$60&gt;AN9))))</f>
        <v/>
      </c>
      <c r="AX9" s="150" t="inlineStr">
        <is>
          <t>Researching</t>
        </is>
      </c>
      <c r="AY9" s="150" t="inlineStr">
        <is>
          <t>BSR top3 ~300000, reviews top10 ~300, generic 28/48. Intent Medium – topic with some buying signal, freshness Partial – new entrant but weak signals, defect Some – 1–2 recurring complaints. Based on Amazon search sampling Oct 2026, subagent research, and category benchmarks.</t>
        </is>
      </c>
      <c r="AZ9" s="150" t="inlineStr">
        <is>
          <t>Amazon.com search Oct 7 2026; subagent BSR sampling; category BSR proxies; policy: KDP low-content guidelines.</t>
        </is>
      </c>
    </row>
    <row r="10" ht="30" customHeight="1" s="198">
      <c r="A10" s="160">
        <f>IF($B10="","",ROW()-5)</f>
        <v/>
      </c>
      <c r="B10" s="150" t="inlineStr">
        <is>
          <t>Sourdough Starter &amp; Bake Tracking Log</t>
        </is>
      </c>
      <c r="C10" s="150" t="inlineStr">
        <is>
          <t>Sourdough / home baking</t>
        </is>
      </c>
      <c r="D10" s="150" t="inlineStr">
        <is>
          <t>Low-content</t>
        </is>
      </c>
      <c r="E10" s="151" t="n">
        <v>46302</v>
      </c>
      <c r="F10" s="152" t="n">
        <v>600000</v>
      </c>
      <c r="G10" s="160">
        <f>IF(F10="","",VLOOKUP(F10,Rubric!$A$37:$B$40,2,TRUE()))</f>
        <v/>
      </c>
      <c r="H10" s="150" t="inlineStr">
        <is>
          <t>Medium – topic with some buying signal</t>
        </is>
      </c>
      <c r="I10" s="160">
        <f>IF(H10="","",VLOOKUP(H10,Rubric!$A$63:$B$65,2,FALSE()))</f>
        <v/>
      </c>
      <c r="J10" s="150" t="inlineStr">
        <is>
          <t>Partial – new entrant but weak signals</t>
        </is>
      </c>
      <c r="K10" s="160">
        <f>IF(J10="","",VLOOKUP(J10,Rubric!$A$69:$B$71,2,FALSE()))</f>
        <v/>
      </c>
      <c r="L10" s="161">
        <f>IF(COUNT(G10,I10,K10)=0,"",SUM(G10,I10,K10))</f>
        <v/>
      </c>
      <c r="M10" s="152" t="n">
        <v>15</v>
      </c>
      <c r="N10" s="160">
        <f>IF(M10="","",VLOOKUP(M10,Rubric!$A$44:$B$47,2,TRUE()))</f>
        <v/>
      </c>
      <c r="O10" s="150" t="inlineStr">
        <is>
          <t>Some – 1–2 recurring complaints</t>
        </is>
      </c>
      <c r="P10" s="160">
        <f>IF(O10="","",VLOOKUP(O10,Rubric!$A$75:$B$77,2,FALSE()))</f>
        <v/>
      </c>
      <c r="Q10" s="154" t="n">
        <v>38</v>
      </c>
      <c r="R10" s="162">
        <f>IF(Q10="","",Q10/Rubric!$B$7)</f>
        <v/>
      </c>
      <c r="S10" s="160">
        <f>IF(R10="","",VLOOKUP(R10,Rubric!$A$51:$B$53,2,TRUE()))</f>
        <v/>
      </c>
      <c r="T10" s="161">
        <f>IF(COUNT(N10,P10,S10)=0,"",SUM(N10,P10,S10))</f>
        <v/>
      </c>
      <c r="U10" s="156" t="n">
        <v>2.5</v>
      </c>
      <c r="V10" s="160">
        <f>IF(U10="","",VLOOKUP(MAX(U10,0),Rubric!$A$57:$B$59,2,TRUE()))</f>
        <v/>
      </c>
      <c r="W10" s="156" t="n"/>
      <c r="X10" s="157" t="n"/>
      <c r="Y10" s="163">
        <f>IF(OR(W10="",X10=""),"",IF(AND(W10&gt;=Rubric!$B$8,W10&lt;=Rubric!$B$9),IF(Rubric!$B$13=1,(W10-X10*Rubric!$B$12)*Rubric!$B$10,W10*Rubric!$B$10-X10*Rubric!$B$12),W10*Rubric!$B$11))</f>
        <v/>
      </c>
      <c r="Z10" s="160">
        <f>IF($B10="","",IF(AND(W10="",X10=""),7,IF(OR(W10="",X10=""),"",IF(X10&gt;Rubric!$B$17,0,IF(AND(Y10&gt;Rubric!$B$14,X10&lt;Rubric!$B$15),7,IF(Y10&gt;Rubric!$B$16,4,0))))))</f>
        <v/>
      </c>
      <c r="AA10" s="150" t="inlineStr">
        <is>
          <t>Low – utility log or workbook, &lt;2%</t>
        </is>
      </c>
      <c r="AB10" s="160">
        <f>IF(AA10="","",VLOOKUP(AA10,Rubric!$A$81:$B$83,2,FALSE()))</f>
        <v/>
      </c>
      <c r="AC10" s="161">
        <f>IF(COUNT(V10,Z10,AB10)=0,"",SUM(V10,Z10,AB10))</f>
        <v/>
      </c>
      <c r="AD10" s="150" t="inlineStr">
        <is>
          <t>Full – templatable with the Python generator</t>
        </is>
      </c>
      <c r="AE10" s="160">
        <f>IF(AD10="","",VLOOKUP(AD10,Rubric!$A$87:$B$89,2,FALSE()))</f>
        <v/>
      </c>
      <c r="AF10" s="150" t="inlineStr">
        <is>
          <t>Low – logs and forms, little fact-checking</t>
        </is>
      </c>
      <c r="AG10" s="160">
        <f>IF(AF10="","",VLOOKUP(AF10,Rubric!$A$93:$C$96,2,FALSE()))</f>
        <v/>
      </c>
      <c r="AH10" s="161">
        <f>IF(COUNT(AE10,AG10)=0,"",SUM(AE10,AG10))</f>
        <v/>
      </c>
      <c r="AI10" s="150" t="inlineStr">
        <is>
          <t>2–3 cluster titles</t>
        </is>
      </c>
      <c r="AJ10" s="160">
        <f>IF(AI10="","",VLOOKUP(AI10,Rubric!$A$100:$B$102,2,FALSE()))</f>
        <v/>
      </c>
      <c r="AK10" s="150" t="inlineStr">
        <is>
          <t>2 channels with distinct uses</t>
        </is>
      </c>
      <c r="AL10" s="160">
        <f>IF(AK10="","",VLOOKUP(AK10,Rubric!$A$106:$B$108,2,FALSE()))</f>
        <v/>
      </c>
      <c r="AM10" s="161">
        <f>IF(COUNT(AJ10,AL10)=0,"",SUM(AJ10,AL10))</f>
        <v/>
      </c>
      <c r="AN10" s="164">
        <f>IF($B10="","",SUM(L10,T10,AC10,AH10,AM10))</f>
        <v/>
      </c>
      <c r="AO10" s="150" t="n"/>
      <c r="AP10" s="150" t="n"/>
      <c r="AQ10" s="150" t="n"/>
      <c r="AR10" s="160">
        <f>IF(OR(W10="",X10=""),"",IF(OR(X10&gt;Rubric!$B$19,Y10&lt;Rubric!$B$18),"VETO",""))</f>
        <v/>
      </c>
      <c r="AS10" s="160">
        <f>IF(AF10="","",IF(VLOOKUP(AF10,Rubric!$A$93:$C$96,3,FALSE())="Yes","VETO",""))</f>
        <v/>
      </c>
      <c r="AT10" s="160">
        <f>IF($B10="","",IF(OR(AO10="Yes",AP10="Yes",AQ10="Yes",AR10="VETO",AS10="VETO"),"VETO",""))</f>
        <v/>
      </c>
      <c r="AU10" s="160">
        <f>IF($B10="","",12-COUNTA(F10,H10,J10,M10,O10,Q10,U10,AA10,AD10,AF10,AI10,AK10)+IF(AND(OR(W10="",X10=""),NOT(AND(W10="",X10=""))),1,0))</f>
        <v/>
      </c>
      <c r="AV10" s="165">
        <f>IF($B10="","",IF(AT10="VETO","Rejected – veto",IF(AU10&gt;0,"Incomplete ("&amp;AU10&amp;" missing)",IF(AN10&gt;=Rubric!$B$5,"Tier 1 – Approved",IF(AN10&gt;=Rubric!$B$6,"Tier 2 – Watchlist","Tier 3 – Rejected")))))</f>
        <v/>
      </c>
      <c r="AW10" s="160">
        <f>IF(OR($B10="",AT10="VETO"),"",IF(AU10&gt;0,"",1+SUMPRODUCT(($B$6:$B$60&lt;&gt;"")*($AT$6:$AT$60&lt;&gt;"VETO")*($AU$6:$AU$60=0)*($AN$6:$AN$60&gt;AN10))))</f>
        <v/>
      </c>
      <c r="AX10" s="150" t="inlineStr">
        <is>
          <t>Researching</t>
        </is>
      </c>
      <c r="AY10" s="150" t="inlineStr">
        <is>
          <t>BSR top3 ~600000, reviews top10 ~15, generic 38/48. Intent Medium – topic with some buying signal, freshness Partial – new entrant but weak signals, defect Some – 1–2 recurring complaints. Based on Amazon search sampling Oct 2026, subagent research, and category benchmarks.</t>
        </is>
      </c>
      <c r="AZ10" s="150" t="inlineStr">
        <is>
          <t>Amazon.com search Oct 7 2026; subagent BSR sampling; category BSR proxies; policy: KDP low-content guidelines.</t>
        </is>
      </c>
    </row>
    <row r="11" ht="30" customHeight="1" s="198">
      <c r="A11" s="160">
        <f>IF($B11="","",ROW()-5)</f>
        <v/>
      </c>
      <c r="B11" s="150" t="inlineStr">
        <is>
          <t>RV Trip, Inspection &amp; Maintenance Logbook</t>
        </is>
      </c>
      <c r="C11" s="150" t="inlineStr">
        <is>
          <t>RV ownership / maintenance</t>
        </is>
      </c>
      <c r="D11" s="150" t="inlineStr">
        <is>
          <t>Low-content</t>
        </is>
      </c>
      <c r="E11" s="151" t="n">
        <v>46302</v>
      </c>
      <c r="F11" s="152" t="n">
        <v>250000</v>
      </c>
      <c r="G11" s="160">
        <f>IF(F11="","",VLOOKUP(F11,Rubric!$A$37:$B$40,2,TRUE()))</f>
        <v/>
      </c>
      <c r="H11" s="150" t="inlineStr">
        <is>
          <t>High – specific problem + buying word</t>
        </is>
      </c>
      <c r="I11" s="160">
        <f>IF(H11="","",VLOOKUP(H11,Rubric!$A$63:$B$65,2,FALSE()))</f>
        <v/>
      </c>
      <c r="J11" s="150" t="inlineStr">
        <is>
          <t>Yes – new entrant &lt;6 mo, &lt;100 reviews, BSR &lt;100k</t>
        </is>
      </c>
      <c r="K11" s="160">
        <f>IF(J11="","",VLOOKUP(J11,Rubric!$A$69:$B$71,2,FALSE()))</f>
        <v/>
      </c>
      <c r="L11" s="161">
        <f>IF(COUNT(G11,I11,K11)=0,"",SUM(G11,I11,K11))</f>
        <v/>
      </c>
      <c r="M11" s="152" t="n">
        <v>50</v>
      </c>
      <c r="N11" s="160">
        <f>IF(M11="","",VLOOKUP(M11,Rubric!$A$44:$B$47,2,TRUE()))</f>
        <v/>
      </c>
      <c r="O11" s="150" t="inlineStr">
        <is>
          <t>Some – 1–2 recurring complaints</t>
        </is>
      </c>
      <c r="P11" s="160">
        <f>IF(O11="","",VLOOKUP(O11,Rubric!$A$75:$B$77,2,FALSE()))</f>
        <v/>
      </c>
      <c r="Q11" s="154" t="n">
        <v>36</v>
      </c>
      <c r="R11" s="162">
        <f>IF(Q11="","",Q11/Rubric!$B$7)</f>
        <v/>
      </c>
      <c r="S11" s="160">
        <f>IF(R11="","",VLOOKUP(R11,Rubric!$A$51:$B$53,2,TRUE()))</f>
        <v/>
      </c>
      <c r="T11" s="161">
        <f>IF(COUNT(N11,P11,S11)=0,"",SUM(N11,P11,S11))</f>
        <v/>
      </c>
      <c r="U11" s="156" t="n">
        <v>3.1</v>
      </c>
      <c r="V11" s="160">
        <f>IF(U11="","",VLOOKUP(MAX(U11,0),Rubric!$A$57:$B$59,2,TRUE()))</f>
        <v/>
      </c>
      <c r="W11" s="156" t="n"/>
      <c r="X11" s="157" t="n"/>
      <c r="Y11" s="163">
        <f>IF(OR(W11="",X11=""),"",IF(AND(W11&gt;=Rubric!$B$8,W11&lt;=Rubric!$B$9),IF(Rubric!$B$13=1,(W11-X11*Rubric!$B$12)*Rubric!$B$10,W11*Rubric!$B$10-X11*Rubric!$B$12),W11*Rubric!$B$11))</f>
        <v/>
      </c>
      <c r="Z11" s="160">
        <f>IF($B11="","",IF(AND(W11="",X11=""),7,IF(OR(W11="",X11=""),"",IF(X11&gt;Rubric!$B$17,0,IF(AND(Y11&gt;Rubric!$B$14,X11&lt;Rubric!$B$15),7,IF(Y11&gt;Rubric!$B$16,4,0))))))</f>
        <v/>
      </c>
      <c r="AA11" s="150" t="inlineStr">
        <is>
          <t>Low – utility log or workbook, &lt;2%</t>
        </is>
      </c>
      <c r="AB11" s="160">
        <f>IF(AA11="","",VLOOKUP(AA11,Rubric!$A$81:$B$83,2,FALSE()))</f>
        <v/>
      </c>
      <c r="AC11" s="161">
        <f>IF(COUNT(V11,Z11,AB11)=0,"",SUM(V11,Z11,AB11))</f>
        <v/>
      </c>
      <c r="AD11" s="150" t="inlineStr">
        <is>
          <t>Full – templatable with the Python generator</t>
        </is>
      </c>
      <c r="AE11" s="160">
        <f>IF(AD11="","",VLOOKUP(AD11,Rubric!$A$87:$B$89,2,FALSE()))</f>
        <v/>
      </c>
      <c r="AF11" s="150" t="inlineStr">
        <is>
          <t>Low – logs and forms, little fact-checking</t>
        </is>
      </c>
      <c r="AG11" s="160">
        <f>IF(AF11="","",VLOOKUP(AF11,Rubric!$A$93:$C$96,2,FALSE()))</f>
        <v/>
      </c>
      <c r="AH11" s="161">
        <f>IF(COUNT(AE11,AG11)=0,"",SUM(AE11,AG11))</f>
        <v/>
      </c>
      <c r="AI11" s="150" t="inlineStr">
        <is>
          <t>3–4 cluster titles</t>
        </is>
      </c>
      <c r="AJ11" s="160">
        <f>IF(AI11="","",VLOOKUP(AI11,Rubric!$A$100:$B$102,2,FALSE()))</f>
        <v/>
      </c>
      <c r="AK11" s="150" t="inlineStr">
        <is>
          <t>2 channels with distinct uses</t>
        </is>
      </c>
      <c r="AL11" s="160">
        <f>IF(AK11="","",VLOOKUP(AK11,Rubric!$A$106:$B$108,2,FALSE()))</f>
        <v/>
      </c>
      <c r="AM11" s="161">
        <f>IF(COUNT(AJ11,AL11)=0,"",SUM(AJ11,AL11))</f>
        <v/>
      </c>
      <c r="AN11" s="164">
        <f>IF($B11="","",SUM(L11,T11,AC11,AH11,AM11))</f>
        <v/>
      </c>
      <c r="AO11" s="150" t="n"/>
      <c r="AP11" s="150" t="n"/>
      <c r="AQ11" s="150" t="n"/>
      <c r="AR11" s="160">
        <f>IF(OR(W11="",X11=""),"",IF(OR(X11&gt;Rubric!$B$19,Y11&lt;Rubric!$B$18),"VETO",""))</f>
        <v/>
      </c>
      <c r="AS11" s="160">
        <f>IF(AF11="","",IF(VLOOKUP(AF11,Rubric!$A$93:$C$96,3,FALSE())="Yes","VETO",""))</f>
        <v/>
      </c>
      <c r="AT11" s="160">
        <f>IF($B11="","",IF(OR(AO11="Yes",AP11="Yes",AQ11="Yes",AR11="VETO",AS11="VETO"),"VETO",""))</f>
        <v/>
      </c>
      <c r="AU11" s="160">
        <f>IF($B11="","",12-COUNTA(F11,H11,J11,M11,O11,Q11,U11,AA11,AD11,AF11,AI11,AK11)+IF(AND(OR(W11="",X11=""),NOT(AND(W11="",X11=""))),1,0))</f>
        <v/>
      </c>
      <c r="AV11" s="165">
        <f>IF($B11="","",IF(AT11="VETO","Rejected – veto",IF(AU11&gt;0,"Incomplete ("&amp;AU11&amp;" missing)",IF(AN11&gt;=Rubric!$B$5,"Tier 1 – Approved",IF(AN11&gt;=Rubric!$B$6,"Tier 2 – Watchlist","Tier 3 – Rejected")))))</f>
        <v/>
      </c>
      <c r="AW11" s="160">
        <f>IF(OR($B11="",AT11="VETO"),"",IF(AU11&gt;0,"",1+SUMPRODUCT(($B$6:$B$60&lt;&gt;"")*($AT$6:$AT$60&lt;&gt;"VETO")*($AU$6:$AU$60=0)*($AN$6:$AN$60&gt;AN11))))</f>
        <v/>
      </c>
      <c r="AX11" s="150" t="inlineStr">
        <is>
          <t>Researching</t>
        </is>
      </c>
      <c r="AY11" s="150" t="inlineStr">
        <is>
          <t>BSR top3 ~250000, reviews top10 ~50, generic 36/48. Intent High – specific problem + buying word, freshness Yes – new entrant &lt;6 mo, &lt;100 reviews, BSR &lt;100k, defect Some – 1–2 recurring complaints. Based on Amazon search sampling Oct 2026, subagent research, and category benchmarks.</t>
        </is>
      </c>
      <c r="AZ11" s="150" t="inlineStr">
        <is>
          <t>Amazon.com search Oct 7 2026; subagent BSR sampling; category BSR proxies; policy: KDP low-content guidelines.</t>
        </is>
      </c>
    </row>
    <row r="12" ht="30" customHeight="1" s="198">
      <c r="A12" s="160">
        <f>IF($B12="","",ROW()-5)</f>
        <v/>
      </c>
      <c r="B12" s="150" t="inlineStr">
        <is>
          <t>HVAC Service Call &amp; Equipment Maintenance Log</t>
        </is>
      </c>
      <c r="C12" s="150" t="inlineStr">
        <is>
          <t>HVAC trade records</t>
        </is>
      </c>
      <c r="D12" s="150" t="inlineStr">
        <is>
          <t>Low-content</t>
        </is>
      </c>
      <c r="E12" s="151" t="n">
        <v>46302</v>
      </c>
      <c r="F12" s="152" t="n">
        <v>300000</v>
      </c>
      <c r="G12" s="160">
        <f>IF(F12="","",VLOOKUP(F12,Rubric!$A$37:$B$40,2,TRUE()))</f>
        <v/>
      </c>
      <c r="H12" s="150" t="inlineStr">
        <is>
          <t>High – specific problem + buying word</t>
        </is>
      </c>
      <c r="I12" s="160">
        <f>IF(H12="","",VLOOKUP(H12,Rubric!$A$63:$B$65,2,FALSE()))</f>
        <v/>
      </c>
      <c r="J12" s="150" t="inlineStr">
        <is>
          <t>Yes – new entrant &lt;6 mo, &lt;100 reviews, BSR &lt;100k</t>
        </is>
      </c>
      <c r="K12" s="160">
        <f>IF(J12="","",VLOOKUP(J12,Rubric!$A$69:$B$71,2,FALSE()))</f>
        <v/>
      </c>
      <c r="L12" s="161">
        <f>IF(COUNT(G12,I12,K12)=0,"",SUM(G12,I12,K12))</f>
        <v/>
      </c>
      <c r="M12" s="152" t="n">
        <v>4</v>
      </c>
      <c r="N12" s="160">
        <f>IF(M12="","",VLOOKUP(M12,Rubric!$A$44:$B$47,2,TRUE()))</f>
        <v/>
      </c>
      <c r="O12" s="150" t="inlineStr">
        <is>
          <t>Strong – 3+ recurring complaints (missing features, no answer key)</t>
        </is>
      </c>
      <c r="P12" s="160">
        <f>IF(O12="","",VLOOKUP(O12,Rubric!$A$75:$B$77,2,FALSE()))</f>
        <v/>
      </c>
      <c r="Q12" s="154" t="n">
        <v>36</v>
      </c>
      <c r="R12" s="162">
        <f>IF(Q12="","",Q12/Rubric!$B$7)</f>
        <v/>
      </c>
      <c r="S12" s="160">
        <f>IF(R12="","",VLOOKUP(R12,Rubric!$A$51:$B$53,2,TRUE()))</f>
        <v/>
      </c>
      <c r="T12" s="161">
        <f>IF(COUNT(N12,P12,S12)=0,"",SUM(N12,P12,S12))</f>
        <v/>
      </c>
      <c r="U12" s="156" t="n">
        <v>2.9</v>
      </c>
      <c r="V12" s="160">
        <f>IF(U12="","",VLOOKUP(MAX(U12,0),Rubric!$A$57:$B$59,2,TRUE()))</f>
        <v/>
      </c>
      <c r="W12" s="156" t="n"/>
      <c r="X12" s="157" t="n"/>
      <c r="Y12" s="163">
        <f>IF(OR(W12="",X12=""),"",IF(AND(W12&gt;=Rubric!$B$8,W12&lt;=Rubric!$B$9),IF(Rubric!$B$13=1,(W12-X12*Rubric!$B$12)*Rubric!$B$10,W12*Rubric!$B$10-X12*Rubric!$B$12),W12*Rubric!$B$11))</f>
        <v/>
      </c>
      <c r="Z12" s="160">
        <f>IF($B12="","",IF(AND(W12="",X12=""),7,IF(OR(W12="",X12=""),"",IF(X12&gt;Rubric!$B$17,0,IF(AND(Y12&gt;Rubric!$B$14,X12&lt;Rubric!$B$15),7,IF(Y12&gt;Rubric!$B$16,4,0))))))</f>
        <v/>
      </c>
      <c r="AA12" s="150" t="inlineStr">
        <is>
          <t>Low – utility log or workbook, &lt;2%</t>
        </is>
      </c>
      <c r="AB12" s="160">
        <f>IF(AA12="","",VLOOKUP(AA12,Rubric!$A$81:$B$83,2,FALSE()))</f>
        <v/>
      </c>
      <c r="AC12" s="161">
        <f>IF(COUNT(V12,Z12,AB12)=0,"",SUM(V12,Z12,AB12))</f>
        <v/>
      </c>
      <c r="AD12" s="150" t="inlineStr">
        <is>
          <t>Full – templatable with the Python generator</t>
        </is>
      </c>
      <c r="AE12" s="160">
        <f>IF(AD12="","",VLOOKUP(AD12,Rubric!$A$87:$B$89,2,FALSE()))</f>
        <v/>
      </c>
      <c r="AF12" s="150" t="inlineStr">
        <is>
          <t>Low – logs and forms, little fact-checking</t>
        </is>
      </c>
      <c r="AG12" s="160">
        <f>IF(AF12="","",VLOOKUP(AF12,Rubric!$A$93:$C$96,2,FALSE()))</f>
        <v/>
      </c>
      <c r="AH12" s="161">
        <f>IF(COUNT(AE12,AG12)=0,"",SUM(AE12,AG12))</f>
        <v/>
      </c>
      <c r="AI12" s="150" t="inlineStr">
        <is>
          <t>3–4 cluster titles</t>
        </is>
      </c>
      <c r="AJ12" s="160">
        <f>IF(AI12="","",VLOOKUP(AI12,Rubric!$A$100:$B$102,2,FALSE()))</f>
        <v/>
      </c>
      <c r="AK12" s="150" t="inlineStr">
        <is>
          <t>2 channels with distinct uses</t>
        </is>
      </c>
      <c r="AL12" s="160">
        <f>IF(AK12="","",VLOOKUP(AK12,Rubric!$A$106:$B$108,2,FALSE()))</f>
        <v/>
      </c>
      <c r="AM12" s="161">
        <f>IF(COUNT(AJ12,AL12)=0,"",SUM(AJ12,AL12))</f>
        <v/>
      </c>
      <c r="AN12" s="164">
        <f>IF($B12="","",SUM(L12,T12,AC12,AH12,AM12))</f>
        <v/>
      </c>
      <c r="AO12" s="150" t="n"/>
      <c r="AP12" s="150" t="n"/>
      <c r="AQ12" s="150" t="n"/>
      <c r="AR12" s="160">
        <f>IF(OR(W12="",X12=""),"",IF(OR(X12&gt;Rubric!$B$19,Y12&lt;Rubric!$B$18),"VETO",""))</f>
        <v/>
      </c>
      <c r="AS12" s="160">
        <f>IF(AF12="","",IF(VLOOKUP(AF12,Rubric!$A$93:$C$96,3,FALSE())="Yes","VETO",""))</f>
        <v/>
      </c>
      <c r="AT12" s="160">
        <f>IF($B12="","",IF(OR(AO12="Yes",AP12="Yes",AQ12="Yes",AR12="VETO",AS12="VETO"),"VETO",""))</f>
        <v/>
      </c>
      <c r="AU12" s="160">
        <f>IF($B12="","",12-COUNTA(F12,H12,J12,M12,O12,Q12,U12,AA12,AD12,AF12,AI12,AK12)+IF(AND(OR(W12="",X12=""),NOT(AND(W12="",X12=""))),1,0))</f>
        <v/>
      </c>
      <c r="AV12" s="165">
        <f>IF($B12="","",IF(AT12="VETO","Rejected – veto",IF(AU12&gt;0,"Incomplete ("&amp;AU12&amp;" missing)",IF(AN12&gt;=Rubric!$B$5,"Tier 1 – Approved",IF(AN12&gt;=Rubric!$B$6,"Tier 2 – Watchlist","Tier 3 – Rejected")))))</f>
        <v/>
      </c>
      <c r="AW12" s="160">
        <f>IF(OR($B12="",AT12="VETO"),"",IF(AU12&gt;0,"",1+SUMPRODUCT(($B$6:$B$60&lt;&gt;"")*($AT$6:$AT$60&lt;&gt;"VETO")*($AU$6:$AU$60=0)*($AN$6:$AN$60&gt;AN12))))</f>
        <v/>
      </c>
      <c r="AX12" s="150" t="inlineStr">
        <is>
          <t>Researching</t>
        </is>
      </c>
      <c r="AY12" s="150" t="inlineStr">
        <is>
          <t>BSR top3 ~300000, reviews top10 ~4, generic 36/48. Intent High – specific problem + buying word, freshness Yes – new entrant &lt;6 mo, &lt;100 reviews, BSR &lt;100k, defect Strong – 3+ recurring complaints (missing features, no answer key). Based on Amazon search sampling Oct 2026, subagent research, and category benchmarks.</t>
        </is>
      </c>
      <c r="AZ12" s="150" t="inlineStr">
        <is>
          <t>Amazon.com search Oct 7 2026; subagent BSR sampling; category BSR proxies; policy: KDP low-content guidelines.</t>
        </is>
      </c>
    </row>
    <row r="13" ht="30" customHeight="1" s="198">
      <c r="A13" s="160">
        <f>IF($B13="","",ROW()-5)</f>
        <v/>
      </c>
      <c r="B13" s="150" t="inlineStr">
        <is>
          <t>Road Trip Activity Book for Kids Ages 8–12</t>
        </is>
      </c>
      <c r="C13" s="150" t="inlineStr">
        <is>
          <t>Family travel / children's activities</t>
        </is>
      </c>
      <c r="D13" s="150" t="inlineStr">
        <is>
          <t>Medium-content</t>
        </is>
      </c>
      <c r="E13" s="151" t="n">
        <v>46302</v>
      </c>
      <c r="F13" s="152" t="n">
        <v>45000</v>
      </c>
      <c r="G13" s="160">
        <f>IF(F13="","",VLOOKUP(F13,Rubric!$A$37:$B$40,2,TRUE()))</f>
        <v/>
      </c>
      <c r="H13" s="150" t="inlineStr">
        <is>
          <t>High – specific problem + buying word</t>
        </is>
      </c>
      <c r="I13" s="160">
        <f>IF(H13="","",VLOOKUP(H13,Rubric!$A$63:$B$65,2,FALSE()))</f>
        <v/>
      </c>
      <c r="J13" s="150" t="inlineStr">
        <is>
          <t>Yes – new entrant &lt;6 mo, &lt;100 reviews, BSR &lt;100k</t>
        </is>
      </c>
      <c r="K13" s="160">
        <f>IF(J13="","",VLOOKUP(J13,Rubric!$A$69:$B$71,2,FALSE()))</f>
        <v/>
      </c>
      <c r="L13" s="161">
        <f>IF(COUNT(G13,I13,K13)=0,"",SUM(G13,I13,K13))</f>
        <v/>
      </c>
      <c r="M13" s="152" t="n">
        <v>200</v>
      </c>
      <c r="N13" s="160">
        <f>IF(M13="","",VLOOKUP(M13,Rubric!$A$44:$B$47,2,TRUE()))</f>
        <v/>
      </c>
      <c r="O13" s="150" t="inlineStr">
        <is>
          <t>Some – 1–2 recurring complaints</t>
        </is>
      </c>
      <c r="P13" s="160">
        <f>IF(O13="","",VLOOKUP(O13,Rubric!$A$75:$B$77,2,FALSE()))</f>
        <v/>
      </c>
      <c r="Q13" s="154" t="n">
        <v>22</v>
      </c>
      <c r="R13" s="162">
        <f>IF(Q13="","",Q13/Rubric!$B$7)</f>
        <v/>
      </c>
      <c r="S13" s="160">
        <f>IF(R13="","",VLOOKUP(R13,Rubric!$A$51:$B$53,2,TRUE()))</f>
        <v/>
      </c>
      <c r="T13" s="161">
        <f>IF(COUNT(N13,P13,S13)=0,"",SUM(N13,P13,S13))</f>
        <v/>
      </c>
      <c r="U13" s="156" t="n">
        <v>3.4</v>
      </c>
      <c r="V13" s="160">
        <f>IF(U13="","",VLOOKUP(MAX(U13,0),Rubric!$A$57:$B$59,2,TRUE()))</f>
        <v/>
      </c>
      <c r="W13" s="156" t="n"/>
      <c r="X13" s="157" t="n"/>
      <c r="Y13" s="163">
        <f>IF(OR(W13="",X13=""),"",IF(AND(W13&gt;=Rubric!$B$8,W13&lt;=Rubric!$B$9),IF(Rubric!$B$13=1,(W13-X13*Rubric!$B$12)*Rubric!$B$10,W13*Rubric!$B$10-X13*Rubric!$B$12),W13*Rubric!$B$11))</f>
        <v/>
      </c>
      <c r="Z13" s="160">
        <f>IF($B13="","",IF(AND(W13="",X13=""),7,IF(OR(W13="",X13=""),"",IF(X13&gt;Rubric!$B$17,0,IF(AND(Y13&gt;Rubric!$B$14,X13&lt;Rubric!$B$15),7,IF(Y13&gt;Rubric!$B$16,4,0))))))</f>
        <v/>
      </c>
      <c r="AA13" s="150" t="inlineStr">
        <is>
          <t>Medium – 2–4%</t>
        </is>
      </c>
      <c r="AB13" s="160">
        <f>IF(AA13="","",VLOOKUP(AA13,Rubric!$A$81:$B$83,2,FALSE()))</f>
        <v/>
      </c>
      <c r="AC13" s="161">
        <f>IF(COUNT(V13,Z13,AB13)=0,"",SUM(V13,Z13,AB13))</f>
        <v/>
      </c>
      <c r="AD13" s="150" t="inlineStr">
        <is>
          <t>Partial – needs Book Studio or manual content</t>
        </is>
      </c>
      <c r="AE13" s="160">
        <f>IF(AD13="","",VLOOKUP(AD13,Rubric!$A$87:$B$89,2,FALSE()))</f>
        <v/>
      </c>
      <c r="AF13" s="150" t="inlineStr">
        <is>
          <t>Medium – how-to / educational accuracy</t>
        </is>
      </c>
      <c r="AG13" s="160">
        <f>IF(AF13="","",VLOOKUP(AF13,Rubric!$A$93:$C$96,2,FALSE()))</f>
        <v/>
      </c>
      <c r="AH13" s="161">
        <f>IF(COUNT(AE13,AG13)=0,"",SUM(AE13,AG13))</f>
        <v/>
      </c>
      <c r="AI13" s="150" t="inlineStr">
        <is>
          <t>2–3 cluster titles</t>
        </is>
      </c>
      <c r="AJ13" s="160">
        <f>IF(AI13="","",VLOOKUP(AI13,Rubric!$A$100:$B$102,2,FALSE()))</f>
        <v/>
      </c>
      <c r="AK13" s="150" t="inlineStr">
        <is>
          <t>2 channels with distinct uses</t>
        </is>
      </c>
      <c r="AL13" s="160">
        <f>IF(AK13="","",VLOOKUP(AK13,Rubric!$A$106:$B$108,2,FALSE()))</f>
        <v/>
      </c>
      <c r="AM13" s="161">
        <f>IF(COUNT(AJ13,AL13)=0,"",SUM(AJ13,AL13))</f>
        <v/>
      </c>
      <c r="AN13" s="164">
        <f>IF($B13="","",SUM(L13,T13,AC13,AH13,AM13))</f>
        <v/>
      </c>
      <c r="AO13" s="150" t="n"/>
      <c r="AP13" s="150" t="n"/>
      <c r="AQ13" s="150" t="n"/>
      <c r="AR13" s="160">
        <f>IF(OR(W13="",X13=""),"",IF(OR(X13&gt;Rubric!$B$19,Y13&lt;Rubric!$B$18),"VETO",""))</f>
        <v/>
      </c>
      <c r="AS13" s="160">
        <f>IF(AF13="","",IF(VLOOKUP(AF13,Rubric!$A$93:$C$96,3,FALSE())="Yes","VETO",""))</f>
        <v/>
      </c>
      <c r="AT13" s="160">
        <f>IF($B13="","",IF(OR(AO13="Yes",AP13="Yes",AQ13="Yes",AR13="VETO",AS13="VETO"),"VETO",""))</f>
        <v/>
      </c>
      <c r="AU13" s="160">
        <f>IF($B13="","",12-COUNTA(F13,H13,J13,M13,O13,Q13,U13,AA13,AD13,AF13,AI13,AK13)+IF(AND(OR(W13="",X13=""),NOT(AND(W13="",X13=""))),1,0))</f>
        <v/>
      </c>
      <c r="AV13" s="165">
        <f>IF($B13="","",IF(AT13="VETO","Rejected – veto",IF(AU13&gt;0,"Incomplete ("&amp;AU13&amp;" missing)",IF(AN13&gt;=Rubric!$B$5,"Tier 1 – Approved",IF(AN13&gt;=Rubric!$B$6,"Tier 2 – Watchlist","Tier 3 – Rejected")))))</f>
        <v/>
      </c>
      <c r="AW13" s="160">
        <f>IF(OR($B13="",AT13="VETO"),"",IF(AU13&gt;0,"",1+SUMPRODUCT(($B$6:$B$60&lt;&gt;"")*($AT$6:$AT$60&lt;&gt;"VETO")*($AU$6:$AU$60=0)*($AN$6:$AN$60&gt;AN13))))</f>
        <v/>
      </c>
      <c r="AX13" s="150" t="inlineStr">
        <is>
          <t>Researching</t>
        </is>
      </c>
      <c r="AY13" s="150" t="inlineStr">
        <is>
          <t>BSR top3 ~45000, reviews top10 ~200, generic 22/48. Intent High – specific problem + buying word, freshness Yes – new entrant &lt;6 mo, &lt;100 reviews, BSR &lt;100k, defect Some – 1–2 recurring complaints. Based on Amazon search sampling Oct 2026, subagent research, and category benchmarks.</t>
        </is>
      </c>
      <c r="AZ13" s="150" t="inlineStr">
        <is>
          <t>Amazon.com search Oct 7 2026; subagent BSR sampling; category BSR proxies; policy: KDP low-content guidelines.</t>
        </is>
      </c>
    </row>
    <row r="14" ht="30" customHeight="1" s="198">
      <c r="A14" s="160">
        <f>IF($B14="","",ROW()-5)</f>
        <v/>
      </c>
      <c r="B14" s="150" t="inlineStr">
        <is>
          <t>First-Time Homeowner Seasonal Maintenance Playbook</t>
        </is>
      </c>
      <c r="C14" s="150" t="inlineStr">
        <is>
          <t>First-time homeownership</t>
        </is>
      </c>
      <c r="D14" s="150" t="inlineStr">
        <is>
          <t>Flagship</t>
        </is>
      </c>
      <c r="E14" s="151" t="n">
        <v>46302</v>
      </c>
      <c r="F14" s="152" t="n">
        <v>80000</v>
      </c>
      <c r="G14" s="160">
        <f>IF(F14="","",VLOOKUP(F14,Rubric!$A$37:$B$40,2,TRUE()))</f>
        <v/>
      </c>
      <c r="H14" s="150" t="inlineStr">
        <is>
          <t>High – specific problem + buying word</t>
        </is>
      </c>
      <c r="I14" s="160">
        <f>IF(H14="","",VLOOKUP(H14,Rubric!$A$63:$B$65,2,FALSE()))</f>
        <v/>
      </c>
      <c r="J14" s="150" t="inlineStr">
        <is>
          <t>Partial – new entrant but weak signals</t>
        </is>
      </c>
      <c r="K14" s="160">
        <f>IF(J14="","",VLOOKUP(J14,Rubric!$A$69:$B$71,2,FALSE()))</f>
        <v/>
      </c>
      <c r="L14" s="161">
        <f>IF(COUNT(G14,I14,K14)=0,"",SUM(G14,I14,K14))</f>
        <v/>
      </c>
      <c r="M14" s="152" t="n">
        <v>180</v>
      </c>
      <c r="N14" s="160">
        <f>IF(M14="","",VLOOKUP(M14,Rubric!$A$44:$B$47,2,TRUE()))</f>
        <v/>
      </c>
      <c r="O14" s="150" t="inlineStr">
        <is>
          <t>Some – 1–2 recurring complaints</t>
        </is>
      </c>
      <c r="P14" s="160">
        <f>IF(O14="","",VLOOKUP(O14,Rubric!$A$75:$B$77,2,FALSE()))</f>
        <v/>
      </c>
      <c r="Q14" s="154" t="n">
        <v>32</v>
      </c>
      <c r="R14" s="162">
        <f>IF(Q14="","",Q14/Rubric!$B$7)</f>
        <v/>
      </c>
      <c r="S14" s="160">
        <f>IF(R14="","",VLOOKUP(R14,Rubric!$A$51:$B$53,2,TRUE()))</f>
        <v/>
      </c>
      <c r="T14" s="161">
        <f>IF(COUNT(N14,P14,S14)=0,"",SUM(N14,P14,S14))</f>
        <v/>
      </c>
      <c r="U14" s="156" t="n">
        <v>4.5</v>
      </c>
      <c r="V14" s="160">
        <f>IF(U14="","",VLOOKUP(MAX(U14,0),Rubric!$A$57:$B$59,2,TRUE()))</f>
        <v/>
      </c>
      <c r="W14" s="156" t="n"/>
      <c r="X14" s="157" t="n"/>
      <c r="Y14" s="163">
        <f>IF(OR(W14="",X14=""),"",IF(AND(W14&gt;=Rubric!$B$8,W14&lt;=Rubric!$B$9),IF(Rubric!$B$13=1,(W14-X14*Rubric!$B$12)*Rubric!$B$10,W14*Rubric!$B$10-X14*Rubric!$B$12),W14*Rubric!$B$11))</f>
        <v/>
      </c>
      <c r="Z14" s="160">
        <f>IF($B14="","",IF(AND(W14="",X14=""),7,IF(OR(W14="",X14=""),"",IF(X14&gt;Rubric!$B$17,0,IF(AND(Y14&gt;Rubric!$B$14,X14&lt;Rubric!$B$15),7,IF(Y14&gt;Rubric!$B$16,4,0))))))</f>
        <v/>
      </c>
      <c r="AA14" s="150" t="inlineStr">
        <is>
          <t>Low – utility log or workbook, &lt;2%</t>
        </is>
      </c>
      <c r="AB14" s="160">
        <f>IF(AA14="","",VLOOKUP(AA14,Rubric!$A$81:$B$83,2,FALSE()))</f>
        <v/>
      </c>
      <c r="AC14" s="161">
        <f>IF(COUNT(V14,Z14,AB14)=0,"",SUM(V14,Z14,AB14))</f>
        <v/>
      </c>
      <c r="AD14" s="150" t="inlineStr">
        <is>
          <t>Low – custom illustration or heavy manual work</t>
        </is>
      </c>
      <c r="AE14" s="160">
        <f>IF(AD14="","",VLOOKUP(AD14,Rubric!$A$87:$B$89,2,FALSE()))</f>
        <v/>
      </c>
      <c r="AF14" s="150" t="inlineStr">
        <is>
          <t>Medium – how-to / educational accuracy</t>
        </is>
      </c>
      <c r="AG14" s="160">
        <f>IF(AF14="","",VLOOKUP(AF14,Rubric!$A$93:$C$96,2,FALSE()))</f>
        <v/>
      </c>
      <c r="AH14" s="161">
        <f>IF(COUNT(AE14,AG14)=0,"",SUM(AE14,AG14))</f>
        <v/>
      </c>
      <c r="AI14" s="150" t="inlineStr">
        <is>
          <t>5+ cluster titles</t>
        </is>
      </c>
      <c r="AJ14" s="160">
        <f>IF(AI14="","",VLOOKUP(AI14,Rubric!$A$100:$B$102,2,FALSE()))</f>
        <v/>
      </c>
      <c r="AK14" s="150" t="inlineStr">
        <is>
          <t>3+ channels with distinct uses</t>
        </is>
      </c>
      <c r="AL14" s="160">
        <f>IF(AK14="","",VLOOKUP(AK14,Rubric!$A$106:$B$108,2,FALSE()))</f>
        <v/>
      </c>
      <c r="AM14" s="161">
        <f>IF(COUNT(AJ14,AL14)=0,"",SUM(AJ14,AL14))</f>
        <v/>
      </c>
      <c r="AN14" s="164">
        <f>IF($B14="","",SUM(L14,T14,AC14,AH14,AM14))</f>
        <v/>
      </c>
      <c r="AO14" s="150" t="n"/>
      <c r="AP14" s="150" t="n"/>
      <c r="AQ14" s="150" t="n"/>
      <c r="AR14" s="160">
        <f>IF(OR(W14="",X14=""),"",IF(OR(X14&gt;Rubric!$B$19,Y14&lt;Rubric!$B$18),"VETO",""))</f>
        <v/>
      </c>
      <c r="AS14" s="160">
        <f>IF(AF14="","",IF(VLOOKUP(AF14,Rubric!$A$93:$C$96,3,FALSE())="Yes","VETO",""))</f>
        <v/>
      </c>
      <c r="AT14" s="160">
        <f>IF($B14="","",IF(OR(AO14="Yes",AP14="Yes",AQ14="Yes",AR14="VETO",AS14="VETO"),"VETO",""))</f>
        <v/>
      </c>
      <c r="AU14" s="160">
        <f>IF($B14="","",12-COUNTA(F14,H14,J14,M14,O14,Q14,U14,AA14,AD14,AF14,AI14,AK14)+IF(AND(OR(W14="",X14=""),NOT(AND(W14="",X14=""))),1,0))</f>
        <v/>
      </c>
      <c r="AV14" s="165">
        <f>IF($B14="","",IF(AT14="VETO","Rejected – veto",IF(AU14&gt;0,"Incomplete ("&amp;AU14&amp;" missing)",IF(AN14&gt;=Rubric!$B$5,"Tier 1 – Approved",IF(AN14&gt;=Rubric!$B$6,"Tier 2 – Watchlist","Tier 3 – Rejected")))))</f>
        <v/>
      </c>
      <c r="AW14" s="160">
        <f>IF(OR($B14="",AT14="VETO"),"",IF(AU14&gt;0,"",1+SUMPRODUCT(($B$6:$B$60&lt;&gt;"")*($AT$6:$AT$60&lt;&gt;"VETO")*($AU$6:$AU$60=0)*($AN$6:$AN$60&gt;AN14))))</f>
        <v/>
      </c>
      <c r="AX14" s="150" t="inlineStr">
        <is>
          <t>Researching</t>
        </is>
      </c>
      <c r="AY14" s="150" t="inlineStr">
        <is>
          <t>BSR top3 ~80000, reviews top10 ~180, generic 32/48. Intent High – specific problem + buying word, freshness Partial – new entrant but weak signals, defect Some – 1–2 recurring complaints. Based on Amazon search sampling Oct 2026, subagent research, and category benchmarks.</t>
        </is>
      </c>
      <c r="AZ14" s="150" t="inlineStr">
        <is>
          <t>Amazon.com search Oct 7 2026; subagent BSR sampling; category BSR proxies; policy: KDP low-content guidelines.</t>
        </is>
      </c>
    </row>
    <row r="15" ht="30" customHeight="1" s="198">
      <c r="A15" s="160">
        <f>IF($B15="","",ROW()-5)</f>
        <v/>
      </c>
      <c r="B15" s="150" t="inlineStr">
        <is>
          <t>Backyard Birdwatching Field Guide for Beginners</t>
        </is>
      </c>
      <c r="C15" s="150" t="inlineStr">
        <is>
          <t>Backyard birding / nature learning</t>
        </is>
      </c>
      <c r="D15" s="150" t="inlineStr">
        <is>
          <t>Digital-first eBook</t>
        </is>
      </c>
      <c r="E15" s="151" t="n">
        <v>46302</v>
      </c>
      <c r="F15" s="152" t="n">
        <v>15000</v>
      </c>
      <c r="G15" s="160">
        <f>IF(F15="","",VLOOKUP(F15,Rubric!$A$37:$B$40,2,TRUE()))</f>
        <v/>
      </c>
      <c r="H15" s="150" t="inlineStr">
        <is>
          <t>High – specific problem + buying word</t>
        </is>
      </c>
      <c r="I15" s="160">
        <f>IF(H15="","",VLOOKUP(H15,Rubric!$A$63:$B$65,2,FALSE()))</f>
        <v/>
      </c>
      <c r="J15" s="150" t="inlineStr">
        <is>
          <t>No – no recent entrants</t>
        </is>
      </c>
      <c r="K15" s="160">
        <f>IF(J15="","",VLOOKUP(J15,Rubric!$A$69:$B$71,2,FALSE()))</f>
        <v/>
      </c>
      <c r="L15" s="161">
        <f>IF(COUNT(G15,I15,K15)=0,"",SUM(G15,I15,K15))</f>
        <v/>
      </c>
      <c r="M15" s="152" t="n">
        <v>400</v>
      </c>
      <c r="N15" s="160">
        <f>IF(M15="","",VLOOKUP(M15,Rubric!$A$44:$B$47,2,TRUE()))</f>
        <v/>
      </c>
      <c r="O15" s="150" t="inlineStr">
        <is>
          <t>Some – 1–2 recurring complaints</t>
        </is>
      </c>
      <c r="P15" s="160">
        <f>IF(O15="","",VLOOKUP(O15,Rubric!$A$75:$B$77,2,FALSE()))</f>
        <v/>
      </c>
      <c r="Q15" s="154" t="n">
        <v>15</v>
      </c>
      <c r="R15" s="162">
        <f>IF(Q15="","",Q15/Rubric!$B$7)</f>
        <v/>
      </c>
      <c r="S15" s="160">
        <f>IF(R15="","",VLOOKUP(R15,Rubric!$A$51:$B$53,2,TRUE()))</f>
        <v/>
      </c>
      <c r="T15" s="161">
        <f>IF(COUNT(N15,P15,S15)=0,"",SUM(N15,P15,S15))</f>
        <v/>
      </c>
      <c r="U15" s="156" t="n">
        <v>2</v>
      </c>
      <c r="V15" s="160">
        <f>IF(U15="","",VLOOKUP(MAX(U15,0),Rubric!$A$57:$B$59,2,TRUE()))</f>
        <v/>
      </c>
      <c r="W15" s="156" t="n"/>
      <c r="X15" s="157" t="n"/>
      <c r="Y15" s="163">
        <f>IF(OR(W15="",X15=""),"",IF(AND(W15&gt;=Rubric!$B$8,W15&lt;=Rubric!$B$9),IF(Rubric!$B$13=1,(W15-X15*Rubric!$B$12)*Rubric!$B$10,W15*Rubric!$B$10-X15*Rubric!$B$12),W15*Rubric!$B$11))</f>
        <v/>
      </c>
      <c r="Z15" s="160">
        <f>IF($B15="","",IF(AND(W15="",X15=""),7,IF(OR(W15="",X15=""),"",IF(X15&gt;Rubric!$B$17,0,IF(AND(Y15&gt;Rubric!$B$14,X15&lt;Rubric!$B$15),7,IF(Y15&gt;Rubric!$B$16,4,0))))))</f>
        <v/>
      </c>
      <c r="AA15" s="150" t="inlineStr">
        <is>
          <t>Low – utility log or workbook, &lt;2%</t>
        </is>
      </c>
      <c r="AB15" s="160">
        <f>IF(AA15="","",VLOOKUP(AA15,Rubric!$A$81:$B$83,2,FALSE()))</f>
        <v/>
      </c>
      <c r="AC15" s="161">
        <f>IF(COUNT(V15,Z15,AB15)=0,"",SUM(V15,Z15,AB15))</f>
        <v/>
      </c>
      <c r="AD15" s="150" t="inlineStr">
        <is>
          <t>Low – custom illustration or heavy manual work</t>
        </is>
      </c>
      <c r="AE15" s="160">
        <f>IF(AD15="","",VLOOKUP(AD15,Rubric!$A$87:$B$89,2,FALSE()))</f>
        <v/>
      </c>
      <c r="AF15" s="150" t="inlineStr">
        <is>
          <t>High – research-intensive, fact-checking heavy</t>
        </is>
      </c>
      <c r="AG15" s="160">
        <f>IF(AF15="","",VLOOKUP(AF15,Rubric!$A$93:$C$96,2,FALSE()))</f>
        <v/>
      </c>
      <c r="AH15" s="161">
        <f>IF(COUNT(AE15,AG15)=0,"",SUM(AE15,AG15))</f>
        <v/>
      </c>
      <c r="AI15" s="150" t="inlineStr">
        <is>
          <t>3–4 cluster titles</t>
        </is>
      </c>
      <c r="AJ15" s="160">
        <f>IF(AI15="","",VLOOKUP(AI15,Rubric!$A$100:$B$102,2,FALSE()))</f>
        <v/>
      </c>
      <c r="AK15" s="150" t="inlineStr">
        <is>
          <t>2 channels with distinct uses</t>
        </is>
      </c>
      <c r="AL15" s="160">
        <f>IF(AK15="","",VLOOKUP(AK15,Rubric!$A$106:$B$108,2,FALSE()))</f>
        <v/>
      </c>
      <c r="AM15" s="161">
        <f>IF(COUNT(AJ15,AL15)=0,"",SUM(AJ15,AL15))</f>
        <v/>
      </c>
      <c r="AN15" s="164">
        <f>IF($B15="","",SUM(L15,T15,AC15,AH15,AM15))</f>
        <v/>
      </c>
      <c r="AO15" s="150" t="n"/>
      <c r="AP15" s="150" t="n"/>
      <c r="AQ15" s="150" t="n"/>
      <c r="AR15" s="160">
        <f>IF(OR(W15="",X15=""),"",IF(OR(X15&gt;Rubric!$B$19,Y15&lt;Rubric!$B$18),"VETO",""))</f>
        <v/>
      </c>
      <c r="AS15" s="160">
        <f>IF(AF15="","",IF(VLOOKUP(AF15,Rubric!$A$93:$C$96,3,FALSE())="Yes","VETO",""))</f>
        <v/>
      </c>
      <c r="AT15" s="160">
        <f>IF($B15="","",IF(OR(AO15="Yes",AP15="Yes",AQ15="Yes",AR15="VETO",AS15="VETO"),"VETO",""))</f>
        <v/>
      </c>
      <c r="AU15" s="160">
        <f>IF($B15="","",12-COUNTA(F15,H15,J15,M15,O15,Q15,U15,AA15,AD15,AF15,AI15,AK15)+IF(AND(OR(W15="",X15=""),NOT(AND(W15="",X15=""))),1,0))</f>
        <v/>
      </c>
      <c r="AV15" s="165">
        <f>IF($B15="","",IF(AT15="VETO","Rejected – veto",IF(AU15&gt;0,"Incomplete ("&amp;AU15&amp;" missing)",IF(AN15&gt;=Rubric!$B$5,"Tier 1 – Approved",IF(AN15&gt;=Rubric!$B$6,"Tier 2 – Watchlist","Tier 3 – Rejected")))))</f>
        <v/>
      </c>
      <c r="AW15" s="160">
        <f>IF(OR($B15="",AT15="VETO"),"",IF(AU15&gt;0,"",1+SUMPRODUCT(($B$6:$B$60&lt;&gt;"")*($AT$6:$AT$60&lt;&gt;"VETO")*($AU$6:$AU$60=0)*($AN$6:$AN$60&gt;AN15))))</f>
        <v/>
      </c>
      <c r="AX15" s="150" t="inlineStr">
        <is>
          <t>Researching</t>
        </is>
      </c>
      <c r="AY15" s="150" t="inlineStr">
        <is>
          <t>BSR top3 ~15000, reviews top10 ~400, generic 15/48. Intent High – specific problem + buying word, freshness No – no recent entrants, defect Some – 1–2 recurring complaints. Based on Amazon search sampling Oct 2026, subagent research, and category benchmarks.</t>
        </is>
      </c>
      <c r="AZ15" s="150" t="inlineStr">
        <is>
          <t>Amazon.com search Oct 7 2026; subagent BSR sampling; category BSR proxies; policy: KDP low-content guidelines.</t>
        </is>
      </c>
    </row>
    <row r="16" ht="30" customHeight="1" s="198">
      <c r="A16" s="160">
        <f>IF($B16="","",ROW()-5)</f>
        <v/>
      </c>
      <c r="B16" s="150" t="inlineStr">
        <is>
          <t>Rental Property Turnover &amp; Maintenance Log</t>
        </is>
      </c>
      <c r="C16" s="150" t="inlineStr">
        <is>
          <t>Rental property operations</t>
        </is>
      </c>
      <c r="D16" s="150" t="inlineStr">
        <is>
          <t>Low-content</t>
        </is>
      </c>
      <c r="E16" s="151" t="n">
        <v>46302</v>
      </c>
      <c r="F16" s="152" t="n">
        <v>500000</v>
      </c>
      <c r="G16" s="160">
        <f>IF(F16="","",VLOOKUP(F16,Rubric!$A$37:$B$40,2,TRUE()))</f>
        <v/>
      </c>
      <c r="H16" s="150" t="inlineStr">
        <is>
          <t>Medium – topic with some buying signal</t>
        </is>
      </c>
      <c r="I16" s="160">
        <f>IF(H16="","",VLOOKUP(H16,Rubric!$A$63:$B$65,2,FALSE()))</f>
        <v/>
      </c>
      <c r="J16" s="150" t="inlineStr">
        <is>
          <t>No – no recent entrants</t>
        </is>
      </c>
      <c r="K16" s="160">
        <f>IF(J16="","",VLOOKUP(J16,Rubric!$A$69:$B$71,2,FALSE()))</f>
        <v/>
      </c>
      <c r="L16" s="161">
        <f>IF(COUNT(G16,I16,K16)=0,"",SUM(G16,I16,K16))</f>
        <v/>
      </c>
      <c r="M16" s="152" t="n">
        <v>20</v>
      </c>
      <c r="N16" s="160">
        <f>IF(M16="","",VLOOKUP(M16,Rubric!$A$44:$B$47,2,TRUE()))</f>
        <v/>
      </c>
      <c r="O16" s="150" t="inlineStr">
        <is>
          <t>Some – 1–2 recurring complaints</t>
        </is>
      </c>
      <c r="P16" s="160">
        <f>IF(O16="","",VLOOKUP(O16,Rubric!$A$75:$B$77,2,FALSE()))</f>
        <v/>
      </c>
      <c r="Q16" s="154" t="n">
        <v>36</v>
      </c>
      <c r="R16" s="162">
        <f>IF(Q16="","",Q16/Rubric!$B$7)</f>
        <v/>
      </c>
      <c r="S16" s="160">
        <f>IF(R16="","",VLOOKUP(R16,Rubric!$A$51:$B$53,2,TRUE()))</f>
        <v/>
      </c>
      <c r="T16" s="161">
        <f>IF(COUNT(N16,P16,S16)=0,"",SUM(N16,P16,S16))</f>
        <v/>
      </c>
      <c r="U16" s="156" t="n">
        <v>2.9</v>
      </c>
      <c r="V16" s="160">
        <f>IF(U16="","",VLOOKUP(MAX(U16,0),Rubric!$A$57:$B$59,2,TRUE()))</f>
        <v/>
      </c>
      <c r="W16" s="156" t="n"/>
      <c r="X16" s="157" t="n"/>
      <c r="Y16" s="163">
        <f>IF(OR(W16="",X16=""),"",IF(AND(W16&gt;=Rubric!$B$8,W16&lt;=Rubric!$B$9),IF(Rubric!$B$13=1,(W16-X16*Rubric!$B$12)*Rubric!$B$10,W16*Rubric!$B$10-X16*Rubric!$B$12),W16*Rubric!$B$11))</f>
        <v/>
      </c>
      <c r="Z16" s="160">
        <f>IF($B16="","",IF(AND(W16="",X16=""),7,IF(OR(W16="",X16=""),"",IF(X16&gt;Rubric!$B$17,0,IF(AND(Y16&gt;Rubric!$B$14,X16&lt;Rubric!$B$15),7,IF(Y16&gt;Rubric!$B$16,4,0))))))</f>
        <v/>
      </c>
      <c r="AA16" s="150" t="inlineStr">
        <is>
          <t>Low – utility log or workbook, &lt;2%</t>
        </is>
      </c>
      <c r="AB16" s="160">
        <f>IF(AA16="","",VLOOKUP(AA16,Rubric!$A$81:$B$83,2,FALSE()))</f>
        <v/>
      </c>
      <c r="AC16" s="161">
        <f>IF(COUNT(V16,Z16,AB16)=0,"",SUM(V16,Z16,AB16))</f>
        <v/>
      </c>
      <c r="AD16" s="150" t="inlineStr">
        <is>
          <t>Full – templatable with the Python generator</t>
        </is>
      </c>
      <c r="AE16" s="160">
        <f>IF(AD16="","",VLOOKUP(AD16,Rubric!$A$87:$B$89,2,FALSE()))</f>
        <v/>
      </c>
      <c r="AF16" s="150" t="inlineStr">
        <is>
          <t>Low – logs and forms, little fact-checking</t>
        </is>
      </c>
      <c r="AG16" s="160">
        <f>IF(AF16="","",VLOOKUP(AF16,Rubric!$A$93:$C$96,2,FALSE()))</f>
        <v/>
      </c>
      <c r="AH16" s="161">
        <f>IF(COUNT(AE16,AG16)=0,"",SUM(AE16,AG16))</f>
        <v/>
      </c>
      <c r="AI16" s="150" t="inlineStr">
        <is>
          <t>3–4 cluster titles</t>
        </is>
      </c>
      <c r="AJ16" s="160">
        <f>IF(AI16="","",VLOOKUP(AI16,Rubric!$A$100:$B$102,2,FALSE()))</f>
        <v/>
      </c>
      <c r="AK16" s="150" t="inlineStr">
        <is>
          <t>2 channels with distinct uses</t>
        </is>
      </c>
      <c r="AL16" s="160">
        <f>IF(AK16="","",VLOOKUP(AK16,Rubric!$A$106:$B$108,2,FALSE()))</f>
        <v/>
      </c>
      <c r="AM16" s="161">
        <f>IF(COUNT(AJ16,AL16)=0,"",SUM(AJ16,AL16))</f>
        <v/>
      </c>
      <c r="AN16" s="164">
        <f>IF($B16="","",SUM(L16,T16,AC16,AH16,AM16))</f>
        <v/>
      </c>
      <c r="AO16" s="150" t="n"/>
      <c r="AP16" s="150" t="n"/>
      <c r="AQ16" s="150" t="n"/>
      <c r="AR16" s="160">
        <f>IF(OR(W16="",X16=""),"",IF(OR(X16&gt;Rubric!$B$19,Y16&lt;Rubric!$B$18),"VETO",""))</f>
        <v/>
      </c>
      <c r="AS16" s="160">
        <f>IF(AF16="","",IF(VLOOKUP(AF16,Rubric!$A$93:$C$96,3,FALSE())="Yes","VETO",""))</f>
        <v/>
      </c>
      <c r="AT16" s="160">
        <f>IF($B16="","",IF(OR(AO16="Yes",AP16="Yes",AQ16="Yes",AR16="VETO",AS16="VETO"),"VETO",""))</f>
        <v/>
      </c>
      <c r="AU16" s="160">
        <f>IF($B16="","",12-COUNTA(F16,H16,J16,M16,O16,Q16,U16,AA16,AD16,AF16,AI16,AK16)+IF(AND(OR(W16="",X16=""),NOT(AND(W16="",X16=""))),1,0))</f>
        <v/>
      </c>
      <c r="AV16" s="165">
        <f>IF($B16="","",IF(AT16="VETO","Rejected – veto",IF(AU16&gt;0,"Incomplete ("&amp;AU16&amp;" missing)",IF(AN16&gt;=Rubric!$B$5,"Tier 1 – Approved",IF(AN16&gt;=Rubric!$B$6,"Tier 2 – Watchlist","Tier 3 – Rejected")))))</f>
        <v/>
      </c>
      <c r="AW16" s="160">
        <f>IF(OR($B16="",AT16="VETO"),"",IF(AU16&gt;0,"",1+SUMPRODUCT(($B$6:$B$60&lt;&gt;"")*($AT$6:$AT$60&lt;&gt;"VETO")*($AU$6:$AU$60=0)*($AN$6:$AN$60&gt;AN16))))</f>
        <v/>
      </c>
      <c r="AX16" s="150" t="n"/>
      <c r="AY16" s="150" t="inlineStr">
        <is>
          <t>BSR top3 ~500000, reviews top10 ~20, generic 36/48. Intent Medium – topic with some buying signal, freshness No – no recent entrants, defect Some – 1–2 recurring complaints. Based on Amazon search sampling Oct 2026, subagent research, and category benchmarks.</t>
        </is>
      </c>
      <c r="AZ16" s="150" t="inlineStr">
        <is>
          <t>Amazon.com search Oct 7 2026; subagent BSR sampling; category BSR proxies; policy: KDP low-content guidelines.</t>
        </is>
      </c>
    </row>
    <row r="17" ht="30" customHeight="1" s="198">
      <c r="A17" s="160">
        <f>IF($B17="","",ROW()-5)</f>
        <v/>
      </c>
      <c r="B17" s="150" t="inlineStr">
        <is>
          <t>Small Fleet Vehicle Maintenance Log</t>
        </is>
      </c>
      <c r="C17" s="150" t="inlineStr">
        <is>
          <t>Fleet / vehicle operations</t>
        </is>
      </c>
      <c r="D17" s="150" t="inlineStr">
        <is>
          <t>Low-content</t>
        </is>
      </c>
      <c r="E17" s="151" t="n">
        <v>46302</v>
      </c>
      <c r="F17" s="152" t="n">
        <v>600000</v>
      </c>
      <c r="G17" s="160">
        <f>IF(F17="","",VLOOKUP(F17,Rubric!$A$37:$B$40,2,TRUE()))</f>
        <v/>
      </c>
      <c r="H17" s="150" t="inlineStr">
        <is>
          <t>Medium – topic with some buying signal</t>
        </is>
      </c>
      <c r="I17" s="160">
        <f>IF(H17="","",VLOOKUP(H17,Rubric!$A$63:$B$65,2,FALSE()))</f>
        <v/>
      </c>
      <c r="J17" s="150" t="inlineStr">
        <is>
          <t>No – no recent entrants</t>
        </is>
      </c>
      <c r="K17" s="160">
        <f>IF(J17="","",VLOOKUP(J17,Rubric!$A$69:$B$71,2,FALSE()))</f>
        <v/>
      </c>
      <c r="L17" s="161">
        <f>IF(COUNT(G17,I17,K17)=0,"",SUM(G17,I17,K17))</f>
        <v/>
      </c>
      <c r="M17" s="152" t="n">
        <v>250</v>
      </c>
      <c r="N17" s="160">
        <f>IF(M17="","",VLOOKUP(M17,Rubric!$A$44:$B$47,2,TRUE()))</f>
        <v/>
      </c>
      <c r="O17" s="150" t="inlineStr">
        <is>
          <t>None – no recurring defect</t>
        </is>
      </c>
      <c r="P17" s="160">
        <f>IF(O17="","",VLOOKUP(O17,Rubric!$A$75:$B$77,2,FALSE()))</f>
        <v/>
      </c>
      <c r="Q17" s="154" t="n">
        <v>38</v>
      </c>
      <c r="R17" s="162">
        <f>IF(Q17="","",Q17/Rubric!$B$7)</f>
        <v/>
      </c>
      <c r="S17" s="160">
        <f>IF(R17="","",VLOOKUP(R17,Rubric!$A$51:$B$53,2,TRUE()))</f>
        <v/>
      </c>
      <c r="T17" s="161">
        <f>IF(COUNT(N17,P17,S17)=0,"",SUM(N17,P17,S17))</f>
        <v/>
      </c>
      <c r="U17" s="156" t="n">
        <v>2.8</v>
      </c>
      <c r="V17" s="160">
        <f>IF(U17="","",VLOOKUP(MAX(U17,0),Rubric!$A$57:$B$59,2,TRUE()))</f>
        <v/>
      </c>
      <c r="W17" s="156" t="n"/>
      <c r="X17" s="157" t="n"/>
      <c r="Y17" s="163">
        <f>IF(OR(W17="",X17=""),"",IF(AND(W17&gt;=Rubric!$B$8,W17&lt;=Rubric!$B$9),IF(Rubric!$B$13=1,(W17-X17*Rubric!$B$12)*Rubric!$B$10,W17*Rubric!$B$10-X17*Rubric!$B$12),W17*Rubric!$B$11))</f>
        <v/>
      </c>
      <c r="Z17" s="160">
        <f>IF($B17="","",IF(AND(W17="",X17=""),7,IF(OR(W17="",X17=""),"",IF(X17&gt;Rubric!$B$17,0,IF(AND(Y17&gt;Rubric!$B$14,X17&lt;Rubric!$B$15),7,IF(Y17&gt;Rubric!$B$16,4,0))))))</f>
        <v/>
      </c>
      <c r="AA17" s="150" t="inlineStr">
        <is>
          <t>Low – utility log or workbook, &lt;2%</t>
        </is>
      </c>
      <c r="AB17" s="160">
        <f>IF(AA17="","",VLOOKUP(AA17,Rubric!$A$81:$B$83,2,FALSE()))</f>
        <v/>
      </c>
      <c r="AC17" s="161">
        <f>IF(COUNT(V17,Z17,AB17)=0,"",SUM(V17,Z17,AB17))</f>
        <v/>
      </c>
      <c r="AD17" s="150" t="inlineStr">
        <is>
          <t>Full – templatable with the Python generator</t>
        </is>
      </c>
      <c r="AE17" s="160">
        <f>IF(AD17="","",VLOOKUP(AD17,Rubric!$A$87:$B$89,2,FALSE()))</f>
        <v/>
      </c>
      <c r="AF17" s="150" t="inlineStr">
        <is>
          <t>Low – logs and forms, little fact-checking</t>
        </is>
      </c>
      <c r="AG17" s="160">
        <f>IF(AF17="","",VLOOKUP(AF17,Rubric!$A$93:$C$96,2,FALSE()))</f>
        <v/>
      </c>
      <c r="AH17" s="161">
        <f>IF(COUNT(AE17,AG17)=0,"",SUM(AE17,AG17))</f>
        <v/>
      </c>
      <c r="AI17" s="150" t="inlineStr">
        <is>
          <t>2–3 cluster titles</t>
        </is>
      </c>
      <c r="AJ17" s="160">
        <f>IF(AI17="","",VLOOKUP(AI17,Rubric!$A$100:$B$102,2,FALSE()))</f>
        <v/>
      </c>
      <c r="AK17" s="150" t="inlineStr">
        <is>
          <t>1 channel focus</t>
        </is>
      </c>
      <c r="AL17" s="160">
        <f>IF(AK17="","",VLOOKUP(AK17,Rubric!$A$106:$B$108,2,FALSE()))</f>
        <v/>
      </c>
      <c r="AM17" s="161">
        <f>IF(COUNT(AJ17,AL17)=0,"",SUM(AJ17,AL17))</f>
        <v/>
      </c>
      <c r="AN17" s="164">
        <f>IF($B17="","",SUM(L17,T17,AC17,AH17,AM17))</f>
        <v/>
      </c>
      <c r="AO17" s="150" t="n"/>
      <c r="AP17" s="150" t="n"/>
      <c r="AQ17" s="150" t="n"/>
      <c r="AR17" s="160">
        <f>IF(OR(W17="",X17=""),"",IF(OR(X17&gt;Rubric!$B$19,Y17&lt;Rubric!$B$18),"VETO",""))</f>
        <v/>
      </c>
      <c r="AS17" s="160">
        <f>IF(AF17="","",IF(VLOOKUP(AF17,Rubric!$A$93:$C$96,3,FALSE())="Yes","VETO",""))</f>
        <v/>
      </c>
      <c r="AT17" s="160">
        <f>IF($B17="","",IF(OR(AO17="Yes",AP17="Yes",AQ17="Yes",AR17="VETO",AS17="VETO"),"VETO",""))</f>
        <v/>
      </c>
      <c r="AU17" s="160">
        <f>IF($B17="","",12-COUNTA(F17,H17,J17,M17,O17,Q17,U17,AA17,AD17,AF17,AI17,AK17)+IF(AND(OR(W17="",X17=""),NOT(AND(W17="",X17=""))),1,0))</f>
        <v/>
      </c>
      <c r="AV17" s="165">
        <f>IF($B17="","",IF(AT17="VETO","Rejected – veto",IF(AU17&gt;0,"Incomplete ("&amp;AU17&amp;" missing)",IF(AN17&gt;=Rubric!$B$5,"Tier 1 – Approved",IF(AN17&gt;=Rubric!$B$6,"Tier 2 – Watchlist","Tier 3 – Rejected")))))</f>
        <v/>
      </c>
      <c r="AW17" s="160">
        <f>IF(OR($B17="",AT17="VETO"),"",IF(AU17&gt;0,"",1+SUMPRODUCT(($B$6:$B$60&lt;&gt;"")*($AT$6:$AT$60&lt;&gt;"VETO")*($AU$6:$AU$60=0)*($AN$6:$AN$60&gt;AN17))))</f>
        <v/>
      </c>
      <c r="AX17" s="150" t="n"/>
      <c r="AY17" s="150" t="inlineStr">
        <is>
          <t>BSR top3 ~600000, reviews top10 ~250, generic 38/48. Intent Medium – topic with some buying signal, freshness No – no recent entrants, defect None – no recurring defect. Based on Amazon search sampling Oct 2026, subagent research, and category benchmarks.</t>
        </is>
      </c>
      <c r="AZ17" s="150" t="inlineStr">
        <is>
          <t>Amazon.com search Oct 7 2026; subagent BSR sampling; category BSR proxies; policy: KDP low-content guidelines.</t>
        </is>
      </c>
    </row>
    <row r="18" ht="30" customHeight="1" s="198">
      <c r="A18" s="160">
        <f>IF($B18="","",ROW()-5)</f>
        <v/>
      </c>
      <c r="B18" s="150" t="inlineStr">
        <is>
          <t>Motorcycle Maintenance &amp; Service Log</t>
        </is>
      </c>
      <c r="C18" s="150" t="inlineStr">
        <is>
          <t>Motorcycle ownership</t>
        </is>
      </c>
      <c r="D18" s="150" t="inlineStr">
        <is>
          <t>Low-content</t>
        </is>
      </c>
      <c r="E18" s="151" t="n">
        <v>46302</v>
      </c>
      <c r="F18" s="152" t="n">
        <v>700000</v>
      </c>
      <c r="G18" s="160">
        <f>IF(F18="","",VLOOKUP(F18,Rubric!$A$37:$B$40,2,TRUE()))</f>
        <v/>
      </c>
      <c r="H18" s="150" t="inlineStr">
        <is>
          <t>Medium – topic with some buying signal</t>
        </is>
      </c>
      <c r="I18" s="160">
        <f>IF(H18="","",VLOOKUP(H18,Rubric!$A$63:$B$65,2,FALSE()))</f>
        <v/>
      </c>
      <c r="J18" s="150" t="inlineStr">
        <is>
          <t>No – no recent entrants</t>
        </is>
      </c>
      <c r="K18" s="160">
        <f>IF(J18="","",VLOOKUP(J18,Rubric!$A$69:$B$71,2,FALSE()))</f>
        <v/>
      </c>
      <c r="L18" s="161">
        <f>IF(COUNT(G18,I18,K18)=0,"",SUM(G18,I18,K18))</f>
        <v/>
      </c>
      <c r="M18" s="152" t="n">
        <v>30</v>
      </c>
      <c r="N18" s="160">
        <f>IF(M18="","",VLOOKUP(M18,Rubric!$A$44:$B$47,2,TRUE()))</f>
        <v/>
      </c>
      <c r="O18" s="150" t="inlineStr">
        <is>
          <t>None – no recurring defect</t>
        </is>
      </c>
      <c r="P18" s="160">
        <f>IF(O18="","",VLOOKUP(O18,Rubric!$A$75:$B$77,2,FALSE()))</f>
        <v/>
      </c>
      <c r="Q18" s="154" t="n">
        <v>35</v>
      </c>
      <c r="R18" s="162">
        <f>IF(Q18="","",Q18/Rubric!$B$7)</f>
        <v/>
      </c>
      <c r="S18" s="160">
        <f>IF(R18="","",VLOOKUP(R18,Rubric!$A$51:$B$53,2,TRUE()))</f>
        <v/>
      </c>
      <c r="T18" s="161">
        <f>IF(COUNT(N18,P18,S18)=0,"",SUM(N18,P18,S18))</f>
        <v/>
      </c>
      <c r="U18" s="156" t="n">
        <v>2.7</v>
      </c>
      <c r="V18" s="160">
        <f>IF(U18="","",VLOOKUP(MAX(U18,0),Rubric!$A$57:$B$59,2,TRUE()))</f>
        <v/>
      </c>
      <c r="W18" s="156" t="n"/>
      <c r="X18" s="157" t="n"/>
      <c r="Y18" s="163">
        <f>IF(OR(W18="",X18=""),"",IF(AND(W18&gt;=Rubric!$B$8,W18&lt;=Rubric!$B$9),IF(Rubric!$B$13=1,(W18-X18*Rubric!$B$12)*Rubric!$B$10,W18*Rubric!$B$10-X18*Rubric!$B$12),W18*Rubric!$B$11))</f>
        <v/>
      </c>
      <c r="Z18" s="160">
        <f>IF($B18="","",IF(AND(W18="",X18=""),7,IF(OR(W18="",X18=""),"",IF(X18&gt;Rubric!$B$17,0,IF(AND(Y18&gt;Rubric!$B$14,X18&lt;Rubric!$B$15),7,IF(Y18&gt;Rubric!$B$16,4,0))))))</f>
        <v/>
      </c>
      <c r="AA18" s="150" t="inlineStr">
        <is>
          <t>Low – utility log or workbook, &lt;2%</t>
        </is>
      </c>
      <c r="AB18" s="160">
        <f>IF(AA18="","",VLOOKUP(AA18,Rubric!$A$81:$B$83,2,FALSE()))</f>
        <v/>
      </c>
      <c r="AC18" s="161">
        <f>IF(COUNT(V18,Z18,AB18)=0,"",SUM(V18,Z18,AB18))</f>
        <v/>
      </c>
      <c r="AD18" s="150" t="inlineStr">
        <is>
          <t>Full – templatable with the Python generator</t>
        </is>
      </c>
      <c r="AE18" s="160">
        <f>IF(AD18="","",VLOOKUP(AD18,Rubric!$A$87:$B$89,2,FALSE()))</f>
        <v/>
      </c>
      <c r="AF18" s="150" t="inlineStr">
        <is>
          <t>Low – logs and forms, little fact-checking</t>
        </is>
      </c>
      <c r="AG18" s="160">
        <f>IF(AF18="","",VLOOKUP(AF18,Rubric!$A$93:$C$96,2,FALSE()))</f>
        <v/>
      </c>
      <c r="AH18" s="161">
        <f>IF(COUNT(AE18,AG18)=0,"",SUM(AE18,AG18))</f>
        <v/>
      </c>
      <c r="AI18" s="150" t="inlineStr">
        <is>
          <t>2–3 cluster titles</t>
        </is>
      </c>
      <c r="AJ18" s="160">
        <f>IF(AI18="","",VLOOKUP(AI18,Rubric!$A$100:$B$102,2,FALSE()))</f>
        <v/>
      </c>
      <c r="AK18" s="150" t="inlineStr">
        <is>
          <t>1 channel focus</t>
        </is>
      </c>
      <c r="AL18" s="160">
        <f>IF(AK18="","",VLOOKUP(AK18,Rubric!$A$106:$B$108,2,FALSE()))</f>
        <v/>
      </c>
      <c r="AM18" s="161">
        <f>IF(COUNT(AJ18,AL18)=0,"",SUM(AJ18,AL18))</f>
        <v/>
      </c>
      <c r="AN18" s="164">
        <f>IF($B18="","",SUM(L18,T18,AC18,AH18,AM18))</f>
        <v/>
      </c>
      <c r="AO18" s="150" t="n"/>
      <c r="AP18" s="150" t="n"/>
      <c r="AQ18" s="150" t="n"/>
      <c r="AR18" s="160">
        <f>IF(OR(W18="",X18=""),"",IF(OR(X18&gt;Rubric!$B$19,Y18&lt;Rubric!$B$18),"VETO",""))</f>
        <v/>
      </c>
      <c r="AS18" s="160">
        <f>IF(AF18="","",IF(VLOOKUP(AF18,Rubric!$A$93:$C$96,3,FALSE())="Yes","VETO",""))</f>
        <v/>
      </c>
      <c r="AT18" s="160">
        <f>IF($B18="","",IF(OR(AO18="Yes",AP18="Yes",AQ18="Yes",AR18="VETO",AS18="VETO"),"VETO",""))</f>
        <v/>
      </c>
      <c r="AU18" s="160">
        <f>IF($B18="","",12-COUNTA(F18,H18,J18,M18,O18,Q18,U18,AA18,AD18,AF18,AI18,AK18)+IF(AND(OR(W18="",X18=""),NOT(AND(W18="",X18=""))),1,0))</f>
        <v/>
      </c>
      <c r="AV18" s="165">
        <f>IF($B18="","",IF(AT18="VETO","Rejected – veto",IF(AU18&gt;0,"Incomplete ("&amp;AU18&amp;" missing)",IF(AN18&gt;=Rubric!$B$5,"Tier 1 – Approved",IF(AN18&gt;=Rubric!$B$6,"Tier 2 – Watchlist","Tier 3 – Rejected")))))</f>
        <v/>
      </c>
      <c r="AW18" s="160">
        <f>IF(OR($B18="",AT18="VETO"),"",IF(AU18&gt;0,"",1+SUMPRODUCT(($B$6:$B$60&lt;&gt;"")*($AT$6:$AT$60&lt;&gt;"VETO")*($AU$6:$AU$60=0)*($AN$6:$AN$60&gt;AN18))))</f>
        <v/>
      </c>
      <c r="AX18" s="150" t="n"/>
      <c r="AY18" s="150" t="inlineStr">
        <is>
          <t>BSR top3 ~700000, reviews top10 ~30, generic 35/48. Intent Medium – topic with some buying signal, freshness No – no recent entrants, defect None – no recurring defect. Based on Amazon search sampling Oct 2026, subagent research, and category benchmarks.</t>
        </is>
      </c>
      <c r="AZ18" s="150" t="inlineStr">
        <is>
          <t>Amazon.com search Oct 7 2026; subagent BSR sampling; category BSR proxies; policy: KDP low-content guidelines.</t>
        </is>
      </c>
    </row>
    <row r="19" ht="30" customHeight="1" s="198">
      <c r="A19" s="160">
        <f>IF($B19="","",ROW()-5)</f>
        <v/>
      </c>
      <c r="B19" s="150" t="inlineStr">
        <is>
          <t>Poultry Flock &amp; Egg Production Record Book</t>
        </is>
      </c>
      <c r="C19" s="150" t="inlineStr">
        <is>
          <t>Backyard poultry / smallholding</t>
        </is>
      </c>
      <c r="D19" s="150" t="inlineStr">
        <is>
          <t>Low-content</t>
        </is>
      </c>
      <c r="E19" s="151" t="n">
        <v>46302</v>
      </c>
      <c r="F19" s="152" t="n">
        <v>276000</v>
      </c>
      <c r="G19" s="160">
        <f>IF(F19="","",VLOOKUP(F19,Rubric!$A$37:$B$40,2,TRUE()))</f>
        <v/>
      </c>
      <c r="H19" s="150" t="inlineStr">
        <is>
          <t>High – specific problem + buying word</t>
        </is>
      </c>
      <c r="I19" s="160">
        <f>IF(H19="","",VLOOKUP(H19,Rubric!$A$63:$B$65,2,FALSE()))</f>
        <v/>
      </c>
      <c r="J19" s="150" t="inlineStr">
        <is>
          <t>Yes – new entrant &lt;6 mo, &lt;100 reviews, BSR &lt;100k</t>
        </is>
      </c>
      <c r="K19" s="160">
        <f>IF(J19="","",VLOOKUP(J19,Rubric!$A$69:$B$71,2,FALSE()))</f>
        <v/>
      </c>
      <c r="L19" s="161">
        <f>IF(COUNT(G19,I19,K19)=0,"",SUM(G19,I19,K19))</f>
        <v/>
      </c>
      <c r="M19" s="152" t="n">
        <v>120</v>
      </c>
      <c r="N19" s="160">
        <f>IF(M19="","",VLOOKUP(M19,Rubric!$A$44:$B$47,2,TRUE()))</f>
        <v/>
      </c>
      <c r="O19" s="150" t="inlineStr">
        <is>
          <t>Some – 1–2 recurring complaints</t>
        </is>
      </c>
      <c r="P19" s="160">
        <f>IF(O19="","",VLOOKUP(O19,Rubric!$A$75:$B$77,2,FALSE()))</f>
        <v/>
      </c>
      <c r="Q19" s="154" t="n">
        <v>40</v>
      </c>
      <c r="R19" s="162">
        <f>IF(Q19="","",Q19/Rubric!$B$7)</f>
        <v/>
      </c>
      <c r="S19" s="160">
        <f>IF(R19="","",VLOOKUP(R19,Rubric!$A$51:$B$53,2,TRUE()))</f>
        <v/>
      </c>
      <c r="T19" s="161">
        <f>IF(COUNT(N19,P19,S19)=0,"",SUM(N19,P19,S19))</f>
        <v/>
      </c>
      <c r="U19" s="156" t="n">
        <v>2.9</v>
      </c>
      <c r="V19" s="160">
        <f>IF(U19="","",VLOOKUP(MAX(U19,0),Rubric!$A$57:$B$59,2,TRUE()))</f>
        <v/>
      </c>
      <c r="W19" s="156" t="n"/>
      <c r="X19" s="157" t="n"/>
      <c r="Y19" s="163">
        <f>IF(OR(W19="",X19=""),"",IF(AND(W19&gt;=Rubric!$B$8,W19&lt;=Rubric!$B$9),IF(Rubric!$B$13=1,(W19-X19*Rubric!$B$12)*Rubric!$B$10,W19*Rubric!$B$10-X19*Rubric!$B$12),W19*Rubric!$B$11))</f>
        <v/>
      </c>
      <c r="Z19" s="160">
        <f>IF($B19="","",IF(AND(W19="",X19=""),7,IF(OR(W19="",X19=""),"",IF(X19&gt;Rubric!$B$17,0,IF(AND(Y19&gt;Rubric!$B$14,X19&lt;Rubric!$B$15),7,IF(Y19&gt;Rubric!$B$16,4,0))))))</f>
        <v/>
      </c>
      <c r="AA19" s="150" t="inlineStr">
        <is>
          <t>Low – utility log or workbook, &lt;2%</t>
        </is>
      </c>
      <c r="AB19" s="160">
        <f>IF(AA19="","",VLOOKUP(AA19,Rubric!$A$81:$B$83,2,FALSE()))</f>
        <v/>
      </c>
      <c r="AC19" s="161">
        <f>IF(COUNT(V19,Z19,AB19)=0,"",SUM(V19,Z19,AB19))</f>
        <v/>
      </c>
      <c r="AD19" s="150" t="inlineStr">
        <is>
          <t>Full – templatable with the Python generator</t>
        </is>
      </c>
      <c r="AE19" s="160">
        <f>IF(AD19="","",VLOOKUP(AD19,Rubric!$A$87:$B$89,2,FALSE()))</f>
        <v/>
      </c>
      <c r="AF19" s="150" t="inlineStr">
        <is>
          <t>Low – logs and forms, little fact-checking</t>
        </is>
      </c>
      <c r="AG19" s="160">
        <f>IF(AF19="","",VLOOKUP(AF19,Rubric!$A$93:$C$96,2,FALSE()))</f>
        <v/>
      </c>
      <c r="AH19" s="161">
        <f>IF(COUNT(AE19,AG19)=0,"",SUM(AE19,AG19))</f>
        <v/>
      </c>
      <c r="AI19" s="150" t="inlineStr">
        <is>
          <t>3–4 cluster titles</t>
        </is>
      </c>
      <c r="AJ19" s="160">
        <f>IF(AI19="","",VLOOKUP(AI19,Rubric!$A$100:$B$102,2,FALSE()))</f>
        <v/>
      </c>
      <c r="AK19" s="150" t="inlineStr">
        <is>
          <t>2 channels with distinct uses</t>
        </is>
      </c>
      <c r="AL19" s="160">
        <f>IF(AK19="","",VLOOKUP(AK19,Rubric!$A$106:$B$108,2,FALSE()))</f>
        <v/>
      </c>
      <c r="AM19" s="161">
        <f>IF(COUNT(AJ19,AL19)=0,"",SUM(AJ19,AL19))</f>
        <v/>
      </c>
      <c r="AN19" s="164">
        <f>IF($B19="","",SUM(L19,T19,AC19,AH19,AM19))</f>
        <v/>
      </c>
      <c r="AO19" s="150" t="n"/>
      <c r="AP19" s="150" t="n"/>
      <c r="AQ19" s="150" t="n"/>
      <c r="AR19" s="160">
        <f>IF(OR(W19="",X19=""),"",IF(OR(X19&gt;Rubric!$B$19,Y19&lt;Rubric!$B$18),"VETO",""))</f>
        <v/>
      </c>
      <c r="AS19" s="160">
        <f>IF(AF19="","",IF(VLOOKUP(AF19,Rubric!$A$93:$C$96,3,FALSE())="Yes","VETO",""))</f>
        <v/>
      </c>
      <c r="AT19" s="160">
        <f>IF($B19="","",IF(OR(AO19="Yes",AP19="Yes",AQ19="Yes",AR19="VETO",AS19="VETO"),"VETO",""))</f>
        <v/>
      </c>
      <c r="AU19" s="160">
        <f>IF($B19="","",12-COUNTA(F19,H19,J19,M19,O19,Q19,U19,AA19,AD19,AF19,AI19,AK19)+IF(AND(OR(W19="",X19=""),NOT(AND(W19="",X19=""))),1,0))</f>
        <v/>
      </c>
      <c r="AV19" s="165">
        <f>IF($B19="","",IF(AT19="VETO","Rejected – veto",IF(AU19&gt;0,"Incomplete ("&amp;AU19&amp;" missing)",IF(AN19&gt;=Rubric!$B$5,"Tier 1 – Approved",IF(AN19&gt;=Rubric!$B$6,"Tier 2 – Watchlist","Tier 3 – Rejected")))))</f>
        <v/>
      </c>
      <c r="AW19" s="160">
        <f>IF(OR($B19="",AT19="VETO"),"",IF(AU19&gt;0,"",1+SUMPRODUCT(($B$6:$B$60&lt;&gt;"")*($AT$6:$AT$60&lt;&gt;"VETO")*($AU$6:$AU$60=0)*($AN$6:$AN$60&gt;AN19))))</f>
        <v/>
      </c>
      <c r="AX19" s="150" t="n"/>
      <c r="AY19" s="150" t="inlineStr">
        <is>
          <t>BSR top3 ~276000, reviews top10 ~120, generic 40/48. Intent High – specific problem + buying word, freshness Yes – new entrant &lt;6 mo, &lt;100 reviews, BSR &lt;100k, defect Some – 1–2 recurring complaints. Based on Amazon search sampling Oct 2026, subagent research, and category benchmarks.</t>
        </is>
      </c>
      <c r="AZ19" s="150" t="inlineStr">
        <is>
          <t>Amazon.com search Oct 7 2026; subagent BSR sampling; category BSR proxies; policy: KDP low-content guidelines.</t>
        </is>
      </c>
    </row>
    <row r="20" ht="30" customHeight="1" s="198">
      <c r="A20" s="160">
        <f>IF($B20="","",ROW()-5)</f>
        <v/>
      </c>
      <c r="B20" s="150" t="inlineStr">
        <is>
          <t>Vegetable Garden Planting &amp; Harvest Log</t>
        </is>
      </c>
      <c r="C20" s="150" t="inlineStr">
        <is>
          <t>Home gardening / crop records</t>
        </is>
      </c>
      <c r="D20" s="150" t="inlineStr">
        <is>
          <t>Low-content</t>
        </is>
      </c>
      <c r="E20" s="151" t="n">
        <v>46302</v>
      </c>
      <c r="F20" s="152" t="n">
        <v>200000</v>
      </c>
      <c r="G20" s="160">
        <f>IF(F20="","",VLOOKUP(F20,Rubric!$A$37:$B$40,2,TRUE()))</f>
        <v/>
      </c>
      <c r="H20" s="150" t="inlineStr">
        <is>
          <t>High – specific problem + buying word</t>
        </is>
      </c>
      <c r="I20" s="160">
        <f>IF(H20="","",VLOOKUP(H20,Rubric!$A$63:$B$65,2,FALSE()))</f>
        <v/>
      </c>
      <c r="J20" s="150" t="inlineStr">
        <is>
          <t>Partial – new entrant but weak signals</t>
        </is>
      </c>
      <c r="K20" s="160">
        <f>IF(J20="","",VLOOKUP(J20,Rubric!$A$69:$B$71,2,FALSE()))</f>
        <v/>
      </c>
      <c r="L20" s="161">
        <f>IF(COUNT(G20,I20,K20)=0,"",SUM(G20,I20,K20))</f>
        <v/>
      </c>
      <c r="M20" s="152" t="n">
        <v>180</v>
      </c>
      <c r="N20" s="160">
        <f>IF(M20="","",VLOOKUP(M20,Rubric!$A$44:$B$47,2,TRUE()))</f>
        <v/>
      </c>
      <c r="O20" s="150" t="inlineStr">
        <is>
          <t>Some – 1–2 recurring complaints</t>
        </is>
      </c>
      <c r="P20" s="160">
        <f>IF(O20="","",VLOOKUP(O20,Rubric!$A$75:$B$77,2,FALSE()))</f>
        <v/>
      </c>
      <c r="Q20" s="154" t="n">
        <v>35</v>
      </c>
      <c r="R20" s="162">
        <f>IF(Q20="","",Q20/Rubric!$B$7)</f>
        <v/>
      </c>
      <c r="S20" s="160">
        <f>IF(R20="","",VLOOKUP(R20,Rubric!$A$51:$B$53,2,TRUE()))</f>
        <v/>
      </c>
      <c r="T20" s="161">
        <f>IF(COUNT(N20,P20,S20)=0,"",SUM(N20,P20,S20))</f>
        <v/>
      </c>
      <c r="U20" s="156" t="n">
        <v>3</v>
      </c>
      <c r="V20" s="160">
        <f>IF(U20="","",VLOOKUP(MAX(U20,0),Rubric!$A$57:$B$59,2,TRUE()))</f>
        <v/>
      </c>
      <c r="W20" s="156" t="n"/>
      <c r="X20" s="157" t="n"/>
      <c r="Y20" s="163">
        <f>IF(OR(W20="",X20=""),"",IF(AND(W20&gt;=Rubric!$B$8,W20&lt;=Rubric!$B$9),IF(Rubric!$B$13=1,(W20-X20*Rubric!$B$12)*Rubric!$B$10,W20*Rubric!$B$10-X20*Rubric!$B$12),W20*Rubric!$B$11))</f>
        <v/>
      </c>
      <c r="Z20" s="160">
        <f>IF($B20="","",IF(AND(W20="",X20=""),7,IF(OR(W20="",X20=""),"",IF(X20&gt;Rubric!$B$17,0,IF(AND(Y20&gt;Rubric!$B$14,X20&lt;Rubric!$B$15),7,IF(Y20&gt;Rubric!$B$16,4,0))))))</f>
        <v/>
      </c>
      <c r="AA20" s="150" t="inlineStr">
        <is>
          <t>Low – utility log or workbook, &lt;2%</t>
        </is>
      </c>
      <c r="AB20" s="160">
        <f>IF(AA20="","",VLOOKUP(AA20,Rubric!$A$81:$B$83,2,FALSE()))</f>
        <v/>
      </c>
      <c r="AC20" s="161">
        <f>IF(COUNT(V20,Z20,AB20)=0,"",SUM(V20,Z20,AB20))</f>
        <v/>
      </c>
      <c r="AD20" s="150" t="inlineStr">
        <is>
          <t>Full – templatable with the Python generator</t>
        </is>
      </c>
      <c r="AE20" s="160">
        <f>IF(AD20="","",VLOOKUP(AD20,Rubric!$A$87:$B$89,2,FALSE()))</f>
        <v/>
      </c>
      <c r="AF20" s="150" t="inlineStr">
        <is>
          <t>Low – logs and forms, little fact-checking</t>
        </is>
      </c>
      <c r="AG20" s="160">
        <f>IF(AF20="","",VLOOKUP(AF20,Rubric!$A$93:$C$96,2,FALSE()))</f>
        <v/>
      </c>
      <c r="AH20" s="161">
        <f>IF(COUNT(AE20,AG20)=0,"",SUM(AE20,AG20))</f>
        <v/>
      </c>
      <c r="AI20" s="150" t="inlineStr">
        <is>
          <t>3–4 cluster titles</t>
        </is>
      </c>
      <c r="AJ20" s="160">
        <f>IF(AI20="","",VLOOKUP(AI20,Rubric!$A$100:$B$102,2,FALSE()))</f>
        <v/>
      </c>
      <c r="AK20" s="150" t="inlineStr">
        <is>
          <t>2 channels with distinct uses</t>
        </is>
      </c>
      <c r="AL20" s="160">
        <f>IF(AK20="","",VLOOKUP(AK20,Rubric!$A$106:$B$108,2,FALSE()))</f>
        <v/>
      </c>
      <c r="AM20" s="161">
        <f>IF(COUNT(AJ20,AL20)=0,"",SUM(AJ20,AL20))</f>
        <v/>
      </c>
      <c r="AN20" s="164">
        <f>IF($B20="","",SUM(L20,T20,AC20,AH20,AM20))</f>
        <v/>
      </c>
      <c r="AO20" s="150" t="n"/>
      <c r="AP20" s="150" t="n"/>
      <c r="AQ20" s="150" t="n"/>
      <c r="AR20" s="160">
        <f>IF(OR(W20="",X20=""),"",IF(OR(X20&gt;Rubric!$B$19,Y20&lt;Rubric!$B$18),"VETO",""))</f>
        <v/>
      </c>
      <c r="AS20" s="160">
        <f>IF(AF20="","",IF(VLOOKUP(AF20,Rubric!$A$93:$C$96,3,FALSE())="Yes","VETO",""))</f>
        <v/>
      </c>
      <c r="AT20" s="160">
        <f>IF($B20="","",IF(OR(AO20="Yes",AP20="Yes",AQ20="Yes",AR20="VETO",AS20="VETO"),"VETO",""))</f>
        <v/>
      </c>
      <c r="AU20" s="160">
        <f>IF($B20="","",12-COUNTA(F20,H20,J20,M20,O20,Q20,U20,AA20,AD20,AF20,AI20,AK20)+IF(AND(OR(W20="",X20=""),NOT(AND(W20="",X20=""))),1,0))</f>
        <v/>
      </c>
      <c r="AV20" s="165">
        <f>IF($B20="","",IF(AT20="VETO","Rejected – veto",IF(AU20&gt;0,"Incomplete ("&amp;AU20&amp;" missing)",IF(AN20&gt;=Rubric!$B$5,"Tier 1 – Approved",IF(AN20&gt;=Rubric!$B$6,"Tier 2 – Watchlist","Tier 3 – Rejected")))))</f>
        <v/>
      </c>
      <c r="AW20" s="160">
        <f>IF(OR($B20="",AT20="VETO"),"",IF(AU20&gt;0,"",1+SUMPRODUCT(($B$6:$B$60&lt;&gt;"")*($AT$6:$AT$60&lt;&gt;"VETO")*($AU$6:$AU$60=0)*($AN$6:$AN$60&gt;AN20))))</f>
        <v/>
      </c>
      <c r="AX20" s="150" t="n"/>
      <c r="AY20" s="150" t="inlineStr">
        <is>
          <t>BSR top3 ~200000, reviews top10 ~180, generic 35/48. Intent High – specific problem + buying word, freshness Partial – new entrant but weak signals, defect Some – 1–2 recurring complaints. Based on Amazon search sampling Oct 2026, subagent research, and category benchmarks.</t>
        </is>
      </c>
      <c r="AZ20" s="150" t="inlineStr">
        <is>
          <t>Amazon.com search Oct 7 2026; subagent BSR sampling; category BSR proxies; policy: KDP low-content guidelines.</t>
        </is>
      </c>
    </row>
    <row r="21" ht="30" customHeight="1" s="198">
      <c r="A21" s="160">
        <f>IF($B21="","",ROW()-5)</f>
        <v/>
      </c>
      <c r="B21" s="150" t="inlineStr">
        <is>
          <t>Aquarium Maintenance &amp; Water-Parameter Log</t>
        </is>
      </c>
      <c r="C21" s="150" t="inlineStr">
        <is>
          <t>Aquarium keeping</t>
        </is>
      </c>
      <c r="D21" s="150" t="inlineStr">
        <is>
          <t>Low-content</t>
        </is>
      </c>
      <c r="E21" s="151" t="n">
        <v>46302</v>
      </c>
      <c r="F21" s="152" t="n">
        <v>773000</v>
      </c>
      <c r="G21" s="160">
        <f>IF(F21="","",VLOOKUP(F21,Rubric!$A$37:$B$40,2,TRUE()))</f>
        <v/>
      </c>
      <c r="H21" s="150" t="inlineStr">
        <is>
          <t>Low – vague, gift or inspirational</t>
        </is>
      </c>
      <c r="I21" s="160">
        <f>IF(H21="","",VLOOKUP(H21,Rubric!$A$63:$B$65,2,FALSE()))</f>
        <v/>
      </c>
      <c r="J21" s="150" t="inlineStr">
        <is>
          <t>No – no recent entrants</t>
        </is>
      </c>
      <c r="K21" s="160">
        <f>IF(J21="","",VLOOKUP(J21,Rubric!$A$69:$B$71,2,FALSE()))</f>
        <v/>
      </c>
      <c r="L21" s="161">
        <f>IF(COUNT(G21,I21,K21)=0,"",SUM(G21,I21,K21))</f>
        <v/>
      </c>
      <c r="M21" s="152" t="n">
        <v>8</v>
      </c>
      <c r="N21" s="160">
        <f>IF(M21="","",VLOOKUP(M21,Rubric!$A$44:$B$47,2,TRUE()))</f>
        <v/>
      </c>
      <c r="O21" s="150" t="inlineStr">
        <is>
          <t>None – no recurring defect</t>
        </is>
      </c>
      <c r="P21" s="160">
        <f>IF(O21="","",VLOOKUP(O21,Rubric!$A$75:$B$77,2,FALSE()))</f>
        <v/>
      </c>
      <c r="Q21" s="154" t="n">
        <v>42</v>
      </c>
      <c r="R21" s="162">
        <f>IF(Q21="","",Q21/Rubric!$B$7)</f>
        <v/>
      </c>
      <c r="S21" s="160">
        <f>IF(R21="","",VLOOKUP(R21,Rubric!$A$51:$B$53,2,TRUE()))</f>
        <v/>
      </c>
      <c r="T21" s="161">
        <f>IF(COUNT(N21,P21,S21)=0,"",SUM(N21,P21,S21))</f>
        <v/>
      </c>
      <c r="U21" s="156" t="n">
        <v>2.5</v>
      </c>
      <c r="V21" s="160">
        <f>IF(U21="","",VLOOKUP(MAX(U21,0),Rubric!$A$57:$B$59,2,TRUE()))</f>
        <v/>
      </c>
      <c r="W21" s="156" t="n"/>
      <c r="X21" s="157" t="n"/>
      <c r="Y21" s="163">
        <f>IF(OR(W21="",X21=""),"",IF(AND(W21&gt;=Rubric!$B$8,W21&lt;=Rubric!$B$9),IF(Rubric!$B$13=1,(W21-X21*Rubric!$B$12)*Rubric!$B$10,W21*Rubric!$B$10-X21*Rubric!$B$12),W21*Rubric!$B$11))</f>
        <v/>
      </c>
      <c r="Z21" s="160">
        <f>IF($B21="","",IF(AND(W21="",X21=""),7,IF(OR(W21="",X21=""),"",IF(X21&gt;Rubric!$B$17,0,IF(AND(Y21&gt;Rubric!$B$14,X21&lt;Rubric!$B$15),7,IF(Y21&gt;Rubric!$B$16,4,0))))))</f>
        <v/>
      </c>
      <c r="AA21" s="150" t="inlineStr">
        <is>
          <t>Low – utility log or workbook, &lt;2%</t>
        </is>
      </c>
      <c r="AB21" s="160">
        <f>IF(AA21="","",VLOOKUP(AA21,Rubric!$A$81:$B$83,2,FALSE()))</f>
        <v/>
      </c>
      <c r="AC21" s="161">
        <f>IF(COUNT(V21,Z21,AB21)=0,"",SUM(V21,Z21,AB21))</f>
        <v/>
      </c>
      <c r="AD21" s="150" t="inlineStr">
        <is>
          <t>Full – templatable with the Python generator</t>
        </is>
      </c>
      <c r="AE21" s="160">
        <f>IF(AD21="","",VLOOKUP(AD21,Rubric!$A$87:$B$89,2,FALSE()))</f>
        <v/>
      </c>
      <c r="AF21" s="150" t="inlineStr">
        <is>
          <t>Low – logs and forms, little fact-checking</t>
        </is>
      </c>
      <c r="AG21" s="160">
        <f>IF(AF21="","",VLOOKUP(AF21,Rubric!$A$93:$C$96,2,FALSE()))</f>
        <v/>
      </c>
      <c r="AH21" s="161">
        <f>IF(COUNT(AE21,AG21)=0,"",SUM(AE21,AG21))</f>
        <v/>
      </c>
      <c r="AI21" s="150" t="inlineStr">
        <is>
          <t>1–2 cluster titles</t>
        </is>
      </c>
      <c r="AJ21" s="160">
        <f>IF(AI21="","",VLOOKUP(AI21,Rubric!$A$100:$B$102,2,FALSE()))</f>
        <v/>
      </c>
      <c r="AK21" s="150" t="inlineStr">
        <is>
          <t>1 channel focus</t>
        </is>
      </c>
      <c r="AL21" s="160">
        <f>IF(AK21="","",VLOOKUP(AK21,Rubric!$A$106:$B$108,2,FALSE()))</f>
        <v/>
      </c>
      <c r="AM21" s="161">
        <f>IF(COUNT(AJ21,AL21)=0,"",SUM(AJ21,AL21))</f>
        <v/>
      </c>
      <c r="AN21" s="164">
        <f>IF($B21="","",SUM(L21,T21,AC21,AH21,AM21))</f>
        <v/>
      </c>
      <c r="AO21" s="150" t="n"/>
      <c r="AP21" s="150" t="n"/>
      <c r="AQ21" s="150" t="n"/>
      <c r="AR21" s="160">
        <f>IF(OR(W21="",X21=""),"",IF(OR(X21&gt;Rubric!$B$19,Y21&lt;Rubric!$B$18),"VETO",""))</f>
        <v/>
      </c>
      <c r="AS21" s="160">
        <f>IF(AF21="","",IF(VLOOKUP(AF21,Rubric!$A$93:$C$96,3,FALSE())="Yes","VETO",""))</f>
        <v/>
      </c>
      <c r="AT21" s="160">
        <f>IF($B21="","",IF(OR(AO21="Yes",AP21="Yes",AQ21="Yes",AR21="VETO",AS21="VETO"),"VETO",""))</f>
        <v/>
      </c>
      <c r="AU21" s="160">
        <f>IF($B21="","",12-COUNTA(F21,H21,J21,M21,O21,Q21,U21,AA21,AD21,AF21,AI21,AK21)+IF(AND(OR(W21="",X21=""),NOT(AND(W21="",X21=""))),1,0))</f>
        <v/>
      </c>
      <c r="AV21" s="165">
        <f>IF($B21="","",IF(AT21="VETO","Rejected – veto",IF(AU21&gt;0,"Incomplete ("&amp;AU21&amp;" missing)",IF(AN21&gt;=Rubric!$B$5,"Tier 1 – Approved",IF(AN21&gt;=Rubric!$B$6,"Tier 2 – Watchlist","Tier 3 – Rejected")))))</f>
        <v/>
      </c>
      <c r="AW21" s="160">
        <f>IF(OR($B21="",AT21="VETO"),"",IF(AU21&gt;0,"",1+SUMPRODUCT(($B$6:$B$60&lt;&gt;"")*($AT$6:$AT$60&lt;&gt;"VETO")*($AU$6:$AU$60=0)*($AN$6:$AN$60&gt;AN21))))</f>
        <v/>
      </c>
      <c r="AX21" s="150" t="n"/>
      <c r="AY21" s="150" t="inlineStr">
        <is>
          <t>BSR top3 ~773000, reviews top10 ~8, generic 42/48. Intent Low – vague, gift or inspirational, freshness No – no recent entrants, defect None – no recurring defect. Based on Amazon search sampling Oct 2026, subagent research, and category benchmarks.</t>
        </is>
      </c>
      <c r="AZ21" s="150" t="inlineStr">
        <is>
          <t>Amazon.com search Oct 7 2026; subagent BSR sampling; category BSR proxies; policy: KDP low-content guidelines.</t>
        </is>
      </c>
    </row>
    <row r="22" ht="30" customHeight="1" s="198">
      <c r="A22" s="160">
        <f>IF($B22="","",ROW()-5)</f>
        <v/>
      </c>
      <c r="B22" s="150" t="inlineStr">
        <is>
          <t>Fishing Catch &amp; Tackle Log</t>
        </is>
      </c>
      <c r="C22" s="150" t="inlineStr">
        <is>
          <t>Fishing / angling records</t>
        </is>
      </c>
      <c r="D22" s="150" t="inlineStr">
        <is>
          <t>Low-content</t>
        </is>
      </c>
      <c r="E22" s="151" t="n">
        <v>46302</v>
      </c>
      <c r="F22" s="152" t="n">
        <v>1100000</v>
      </c>
      <c r="G22" s="160">
        <f>IF(F22="","",VLOOKUP(F22,Rubric!$A$37:$B$40,2,TRUE()))</f>
        <v/>
      </c>
      <c r="H22" s="150" t="inlineStr">
        <is>
          <t>Medium – topic with some buying signal</t>
        </is>
      </c>
      <c r="I22" s="160">
        <f>IF(H22="","",VLOOKUP(H22,Rubric!$A$63:$B$65,2,FALSE()))</f>
        <v/>
      </c>
      <c r="J22" s="150" t="inlineStr">
        <is>
          <t>No – no recent entrants</t>
        </is>
      </c>
      <c r="K22" s="160">
        <f>IF(J22="","",VLOOKUP(J22,Rubric!$A$69:$B$71,2,FALSE()))</f>
        <v/>
      </c>
      <c r="L22" s="161">
        <f>IF(COUNT(G22,I22,K22)=0,"",SUM(G22,I22,K22))</f>
        <v/>
      </c>
      <c r="M22" s="152" t="n">
        <v>5</v>
      </c>
      <c r="N22" s="160">
        <f>IF(M22="","",VLOOKUP(M22,Rubric!$A$44:$B$47,2,TRUE()))</f>
        <v/>
      </c>
      <c r="O22" s="150" t="inlineStr">
        <is>
          <t>None – no recurring defect</t>
        </is>
      </c>
      <c r="P22" s="160">
        <f>IF(O22="","",VLOOKUP(O22,Rubric!$A$75:$B$77,2,FALSE()))</f>
        <v/>
      </c>
      <c r="Q22" s="154" t="n">
        <v>44</v>
      </c>
      <c r="R22" s="162">
        <f>IF(Q22="","",Q22/Rubric!$B$7)</f>
        <v/>
      </c>
      <c r="S22" s="160">
        <f>IF(R22="","",VLOOKUP(R22,Rubric!$A$51:$B$53,2,TRUE()))</f>
        <v/>
      </c>
      <c r="T22" s="161">
        <f>IF(COUNT(N22,P22,S22)=0,"",SUM(N22,P22,S22))</f>
        <v/>
      </c>
      <c r="U22" s="156" t="n">
        <v>2.5</v>
      </c>
      <c r="V22" s="160">
        <f>IF(U22="","",VLOOKUP(MAX(U22,0),Rubric!$A$57:$B$59,2,TRUE()))</f>
        <v/>
      </c>
      <c r="W22" s="156" t="n"/>
      <c r="X22" s="157" t="n"/>
      <c r="Y22" s="163">
        <f>IF(OR(W22="",X22=""),"",IF(AND(W22&gt;=Rubric!$B$8,W22&lt;=Rubric!$B$9),IF(Rubric!$B$13=1,(W22-X22*Rubric!$B$12)*Rubric!$B$10,W22*Rubric!$B$10-X22*Rubric!$B$12),W22*Rubric!$B$11))</f>
        <v/>
      </c>
      <c r="Z22" s="160">
        <f>IF($B22="","",IF(AND(W22="",X22=""),7,IF(OR(W22="",X22=""),"",IF(X22&gt;Rubric!$B$17,0,IF(AND(Y22&gt;Rubric!$B$14,X22&lt;Rubric!$B$15),7,IF(Y22&gt;Rubric!$B$16,4,0))))))</f>
        <v/>
      </c>
      <c r="AA22" s="150" t="inlineStr">
        <is>
          <t>Low – utility log or workbook, &lt;2%</t>
        </is>
      </c>
      <c r="AB22" s="160">
        <f>IF(AA22="","",VLOOKUP(AA22,Rubric!$A$81:$B$83,2,FALSE()))</f>
        <v/>
      </c>
      <c r="AC22" s="161">
        <f>IF(COUNT(V22,Z22,AB22)=0,"",SUM(V22,Z22,AB22))</f>
        <v/>
      </c>
      <c r="AD22" s="150" t="inlineStr">
        <is>
          <t>Full – templatable with the Python generator</t>
        </is>
      </c>
      <c r="AE22" s="160">
        <f>IF(AD22="","",VLOOKUP(AD22,Rubric!$A$87:$B$89,2,FALSE()))</f>
        <v/>
      </c>
      <c r="AF22" s="150" t="inlineStr">
        <is>
          <t>Low – logs and forms, little fact-checking</t>
        </is>
      </c>
      <c r="AG22" s="160">
        <f>IF(AF22="","",VLOOKUP(AF22,Rubric!$A$93:$C$96,2,FALSE()))</f>
        <v/>
      </c>
      <c r="AH22" s="161">
        <f>IF(COUNT(AE22,AG22)=0,"",SUM(AE22,AG22))</f>
        <v/>
      </c>
      <c r="AI22" s="150" t="inlineStr">
        <is>
          <t>2–3 cluster titles</t>
        </is>
      </c>
      <c r="AJ22" s="160">
        <f>IF(AI22="","",VLOOKUP(AI22,Rubric!$A$100:$B$102,2,FALSE()))</f>
        <v/>
      </c>
      <c r="AK22" s="150" t="inlineStr">
        <is>
          <t>1 channel focus</t>
        </is>
      </c>
      <c r="AL22" s="160">
        <f>IF(AK22="","",VLOOKUP(AK22,Rubric!$A$106:$B$108,2,FALSE()))</f>
        <v/>
      </c>
      <c r="AM22" s="161">
        <f>IF(COUNT(AJ22,AL22)=0,"",SUM(AJ22,AL22))</f>
        <v/>
      </c>
      <c r="AN22" s="164">
        <f>IF($B22="","",SUM(L22,T22,AC22,AH22,AM22))</f>
        <v/>
      </c>
      <c r="AO22" s="150" t="n"/>
      <c r="AP22" s="150" t="n"/>
      <c r="AQ22" s="150" t="n"/>
      <c r="AR22" s="160">
        <f>IF(OR(W22="",X22=""),"",IF(OR(X22&gt;Rubric!$B$19,Y22&lt;Rubric!$B$18),"VETO",""))</f>
        <v/>
      </c>
      <c r="AS22" s="160">
        <f>IF(AF22="","",IF(VLOOKUP(AF22,Rubric!$A$93:$C$96,3,FALSE())="Yes","VETO",""))</f>
        <v/>
      </c>
      <c r="AT22" s="160">
        <f>IF($B22="","",IF(OR(AO22="Yes",AP22="Yes",AQ22="Yes",AR22="VETO",AS22="VETO"),"VETO",""))</f>
        <v/>
      </c>
      <c r="AU22" s="160">
        <f>IF($B22="","",12-COUNTA(F22,H22,J22,M22,O22,Q22,U22,AA22,AD22,AF22,AI22,AK22)+IF(AND(OR(W22="",X22=""),NOT(AND(W22="",X22=""))),1,0))</f>
        <v/>
      </c>
      <c r="AV22" s="165">
        <f>IF($B22="","",IF(AT22="VETO","Rejected – veto",IF(AU22&gt;0,"Incomplete ("&amp;AU22&amp;" missing)",IF(AN22&gt;=Rubric!$B$5,"Tier 1 – Approved",IF(AN22&gt;=Rubric!$B$6,"Tier 2 – Watchlist","Tier 3 – Rejected")))))</f>
        <v/>
      </c>
      <c r="AW22" s="160">
        <f>IF(OR($B22="",AT22="VETO"),"",IF(AU22&gt;0,"",1+SUMPRODUCT(($B$6:$B$60&lt;&gt;"")*($AT$6:$AT$60&lt;&gt;"VETO")*($AU$6:$AU$60=0)*($AN$6:$AN$60&gt;AN22))))</f>
        <v/>
      </c>
      <c r="AX22" s="150" t="n"/>
      <c r="AY22" s="150" t="inlineStr">
        <is>
          <t>BSR top3 ~1100000, reviews top10 ~5, generic 44/48. Intent Medium – topic with some buying signal, freshness No – no recent entrants, defect None – no recurring defect. Based on Amazon search sampling Oct 2026, subagent research, and category benchmarks.</t>
        </is>
      </c>
      <c r="AZ22" s="150" t="inlineStr">
        <is>
          <t>Amazon.com search Oct 7 2026; subagent BSR sampling; category BSR proxies; policy: KDP low-content guidelines.</t>
        </is>
      </c>
    </row>
    <row r="23" ht="30" customHeight="1" s="198">
      <c r="A23" s="160">
        <f>IF($B23="","",ROW()-5)</f>
        <v/>
      </c>
      <c r="B23" s="150" t="inlineStr">
        <is>
          <t>Backyard Birdwatching Observation Log</t>
        </is>
      </c>
      <c r="C23" s="150" t="inlineStr">
        <is>
          <t>Backyard birding / nature learning</t>
        </is>
      </c>
      <c r="D23" s="150" t="inlineStr">
        <is>
          <t>Low-content</t>
        </is>
      </c>
      <c r="E23" s="151" t="n">
        <v>46302</v>
      </c>
      <c r="F23" s="152" t="n">
        <v>128000</v>
      </c>
      <c r="G23" s="160">
        <f>IF(F23="","",VLOOKUP(F23,Rubric!$A$37:$B$40,2,TRUE()))</f>
        <v/>
      </c>
      <c r="H23" s="150" t="inlineStr">
        <is>
          <t>High – specific problem + buying word</t>
        </is>
      </c>
      <c r="I23" s="160">
        <f>IF(H23="","",VLOOKUP(H23,Rubric!$A$63:$B$65,2,FALSE()))</f>
        <v/>
      </c>
      <c r="J23" s="150" t="inlineStr">
        <is>
          <t>Partial – new entrant but weak signals</t>
        </is>
      </c>
      <c r="K23" s="160">
        <f>IF(J23="","",VLOOKUP(J23,Rubric!$A$69:$B$71,2,FALSE()))</f>
        <v/>
      </c>
      <c r="L23" s="161">
        <f>IF(COUNT(G23,I23,K23)=0,"",SUM(G23,I23,K23))</f>
        <v/>
      </c>
      <c r="M23" s="152" t="n">
        <v>18</v>
      </c>
      <c r="N23" s="160">
        <f>IF(M23="","",VLOOKUP(M23,Rubric!$A$44:$B$47,2,TRUE()))</f>
        <v/>
      </c>
      <c r="O23" s="150" t="inlineStr">
        <is>
          <t>Some – 1–2 recurring complaints</t>
        </is>
      </c>
      <c r="P23" s="160">
        <f>IF(O23="","",VLOOKUP(O23,Rubric!$A$75:$B$77,2,FALSE()))</f>
        <v/>
      </c>
      <c r="Q23" s="154" t="n">
        <v>38</v>
      </c>
      <c r="R23" s="162">
        <f>IF(Q23="","",Q23/Rubric!$B$7)</f>
        <v/>
      </c>
      <c r="S23" s="160">
        <f>IF(R23="","",VLOOKUP(R23,Rubric!$A$51:$B$53,2,TRUE()))</f>
        <v/>
      </c>
      <c r="T23" s="161">
        <f>IF(COUNT(N23,P23,S23)=0,"",SUM(N23,P23,S23))</f>
        <v/>
      </c>
      <c r="U23" s="156" t="n">
        <v>2.8</v>
      </c>
      <c r="V23" s="160">
        <f>IF(U23="","",VLOOKUP(MAX(U23,0),Rubric!$A$57:$B$59,2,TRUE()))</f>
        <v/>
      </c>
      <c r="W23" s="156" t="n"/>
      <c r="X23" s="157" t="n"/>
      <c r="Y23" s="163">
        <f>IF(OR(W23="",X23=""),"",IF(AND(W23&gt;=Rubric!$B$8,W23&lt;=Rubric!$B$9),IF(Rubric!$B$13=1,(W23-X23*Rubric!$B$12)*Rubric!$B$10,W23*Rubric!$B$10-X23*Rubric!$B$12),W23*Rubric!$B$11))</f>
        <v/>
      </c>
      <c r="Z23" s="160">
        <f>IF($B23="","",IF(AND(W23="",X23=""),7,IF(OR(W23="",X23=""),"",IF(X23&gt;Rubric!$B$17,0,IF(AND(Y23&gt;Rubric!$B$14,X23&lt;Rubric!$B$15),7,IF(Y23&gt;Rubric!$B$16,4,0))))))</f>
        <v/>
      </c>
      <c r="AA23" s="150" t="inlineStr">
        <is>
          <t>Low – utility log or workbook, &lt;2%</t>
        </is>
      </c>
      <c r="AB23" s="160">
        <f>IF(AA23="","",VLOOKUP(AA23,Rubric!$A$81:$B$83,2,FALSE()))</f>
        <v/>
      </c>
      <c r="AC23" s="161">
        <f>IF(COUNT(V23,Z23,AB23)=0,"",SUM(V23,Z23,AB23))</f>
        <v/>
      </c>
      <c r="AD23" s="150" t="inlineStr">
        <is>
          <t>Full – templatable with the Python generator</t>
        </is>
      </c>
      <c r="AE23" s="160">
        <f>IF(AD23="","",VLOOKUP(AD23,Rubric!$A$87:$B$89,2,FALSE()))</f>
        <v/>
      </c>
      <c r="AF23" s="150" t="inlineStr">
        <is>
          <t>Low – logs and forms, little fact-checking</t>
        </is>
      </c>
      <c r="AG23" s="160">
        <f>IF(AF23="","",VLOOKUP(AF23,Rubric!$A$93:$C$96,2,FALSE()))</f>
        <v/>
      </c>
      <c r="AH23" s="161">
        <f>IF(COUNT(AE23,AG23)=0,"",SUM(AE23,AG23))</f>
        <v/>
      </c>
      <c r="AI23" s="150" t="inlineStr">
        <is>
          <t>3–4 cluster titles</t>
        </is>
      </c>
      <c r="AJ23" s="160">
        <f>IF(AI23="","",VLOOKUP(AI23,Rubric!$A$100:$B$102,2,FALSE()))</f>
        <v/>
      </c>
      <c r="AK23" s="150" t="inlineStr">
        <is>
          <t>2 channels with distinct uses</t>
        </is>
      </c>
      <c r="AL23" s="160">
        <f>IF(AK23="","",VLOOKUP(AK23,Rubric!$A$106:$B$108,2,FALSE()))</f>
        <v/>
      </c>
      <c r="AM23" s="161">
        <f>IF(COUNT(AJ23,AL23)=0,"",SUM(AJ23,AL23))</f>
        <v/>
      </c>
      <c r="AN23" s="164">
        <f>IF($B23="","",SUM(L23,T23,AC23,AH23,AM23))</f>
        <v/>
      </c>
      <c r="AO23" s="150" t="n"/>
      <c r="AP23" s="150" t="n"/>
      <c r="AQ23" s="150" t="n"/>
      <c r="AR23" s="160">
        <f>IF(OR(W23="",X23=""),"",IF(OR(X23&gt;Rubric!$B$19,Y23&lt;Rubric!$B$18),"VETO",""))</f>
        <v/>
      </c>
      <c r="AS23" s="160">
        <f>IF(AF23="","",IF(VLOOKUP(AF23,Rubric!$A$93:$C$96,3,FALSE())="Yes","VETO",""))</f>
        <v/>
      </c>
      <c r="AT23" s="160">
        <f>IF($B23="","",IF(OR(AO23="Yes",AP23="Yes",AQ23="Yes",AR23="VETO",AS23="VETO"),"VETO",""))</f>
        <v/>
      </c>
      <c r="AU23" s="160">
        <f>IF($B23="","",12-COUNTA(F23,H23,J23,M23,O23,Q23,U23,AA23,AD23,AF23,AI23,AK23)+IF(AND(OR(W23="",X23=""),NOT(AND(W23="",X23=""))),1,0))</f>
        <v/>
      </c>
      <c r="AV23" s="165">
        <f>IF($B23="","",IF(AT23="VETO","Rejected – veto",IF(AU23&gt;0,"Incomplete ("&amp;AU23&amp;" missing)",IF(AN23&gt;=Rubric!$B$5,"Tier 1 – Approved",IF(AN23&gt;=Rubric!$B$6,"Tier 2 – Watchlist","Tier 3 – Rejected")))))</f>
        <v/>
      </c>
      <c r="AW23" s="160">
        <f>IF(OR($B23="",AT23="VETO"),"",IF(AU23&gt;0,"",1+SUMPRODUCT(($B$6:$B$60&lt;&gt;"")*($AT$6:$AT$60&lt;&gt;"VETO")*($AU$6:$AU$60=0)*($AN$6:$AN$60&gt;AN23))))</f>
        <v/>
      </c>
      <c r="AX23" s="150" t="n"/>
      <c r="AY23" s="150" t="inlineStr">
        <is>
          <t>BSR top3 ~128000, reviews top10 ~18, generic 38/48. Intent High – specific problem + buying word, freshness Partial – new entrant but weak signals, defect Some – 1–2 recurring complaints. Based on Amazon search sampling Oct 2026, subagent research, and category benchmarks.</t>
        </is>
      </c>
      <c r="AZ23" s="150" t="inlineStr">
        <is>
          <t>Amazon.com search Oct 7 2026; subagent BSR sampling; category BSR proxies; policy: KDP low-content guidelines.</t>
        </is>
      </c>
    </row>
    <row r="24" ht="30" customHeight="1" s="198">
      <c r="A24" s="160">
        <f>IF($B24="","",ROW()-5)</f>
        <v/>
      </c>
      <c r="B24" s="150" t="inlineStr">
        <is>
          <t>Amateur Astronomy Observation Log</t>
        </is>
      </c>
      <c r="C24" s="150" t="inlineStr">
        <is>
          <t>Amateur astronomy</t>
        </is>
      </c>
      <c r="D24" s="150" t="inlineStr">
        <is>
          <t>Low-content</t>
        </is>
      </c>
      <c r="E24" s="151" t="n">
        <v>46302</v>
      </c>
      <c r="F24" s="152" t="n">
        <v>400000</v>
      </c>
      <c r="G24" s="160">
        <f>IF(F24="","",VLOOKUP(F24,Rubric!$A$37:$B$40,2,TRUE()))</f>
        <v/>
      </c>
      <c r="H24" s="150" t="inlineStr">
        <is>
          <t>Medium – topic with some buying signal</t>
        </is>
      </c>
      <c r="I24" s="160">
        <f>IF(H24="","",VLOOKUP(H24,Rubric!$A$63:$B$65,2,FALSE()))</f>
        <v/>
      </c>
      <c r="J24" s="150" t="inlineStr">
        <is>
          <t>No – no recent entrants</t>
        </is>
      </c>
      <c r="K24" s="160">
        <f>IF(J24="","",VLOOKUP(J24,Rubric!$A$69:$B$71,2,FALSE()))</f>
        <v/>
      </c>
      <c r="L24" s="161">
        <f>IF(COUNT(G24,I24,K24)=0,"",SUM(G24,I24,K24))</f>
        <v/>
      </c>
      <c r="M24" s="152" t="n">
        <v>12</v>
      </c>
      <c r="N24" s="160">
        <f>IF(M24="","",VLOOKUP(M24,Rubric!$A$44:$B$47,2,TRUE()))</f>
        <v/>
      </c>
      <c r="O24" s="150" t="inlineStr">
        <is>
          <t>None – no recurring defect</t>
        </is>
      </c>
      <c r="P24" s="160">
        <f>IF(O24="","",VLOOKUP(O24,Rubric!$A$75:$B$77,2,FALSE()))</f>
        <v/>
      </c>
      <c r="Q24" s="154" t="n">
        <v>30</v>
      </c>
      <c r="R24" s="162">
        <f>IF(Q24="","",Q24/Rubric!$B$7)</f>
        <v/>
      </c>
      <c r="S24" s="160">
        <f>IF(R24="","",VLOOKUP(R24,Rubric!$A$51:$B$53,2,TRUE()))</f>
        <v/>
      </c>
      <c r="T24" s="161">
        <f>IF(COUNT(N24,P24,S24)=0,"",SUM(N24,P24,S24))</f>
        <v/>
      </c>
      <c r="U24" s="156" t="n">
        <v>2.8</v>
      </c>
      <c r="V24" s="160">
        <f>IF(U24="","",VLOOKUP(MAX(U24,0),Rubric!$A$57:$B$59,2,TRUE()))</f>
        <v/>
      </c>
      <c r="W24" s="156" t="n"/>
      <c r="X24" s="157" t="n"/>
      <c r="Y24" s="163">
        <f>IF(OR(W24="",X24=""),"",IF(AND(W24&gt;=Rubric!$B$8,W24&lt;=Rubric!$B$9),IF(Rubric!$B$13=1,(W24-X24*Rubric!$B$12)*Rubric!$B$10,W24*Rubric!$B$10-X24*Rubric!$B$12),W24*Rubric!$B$11))</f>
        <v/>
      </c>
      <c r="Z24" s="160">
        <f>IF($B24="","",IF(AND(W24="",X24=""),7,IF(OR(W24="",X24=""),"",IF(X24&gt;Rubric!$B$17,0,IF(AND(Y24&gt;Rubric!$B$14,X24&lt;Rubric!$B$15),7,IF(Y24&gt;Rubric!$B$16,4,0))))))</f>
        <v/>
      </c>
      <c r="AA24" s="150" t="inlineStr">
        <is>
          <t>Low – utility log or workbook, &lt;2%</t>
        </is>
      </c>
      <c r="AB24" s="160">
        <f>IF(AA24="","",VLOOKUP(AA24,Rubric!$A$81:$B$83,2,FALSE()))</f>
        <v/>
      </c>
      <c r="AC24" s="161">
        <f>IF(COUNT(V24,Z24,AB24)=0,"",SUM(V24,Z24,AB24))</f>
        <v/>
      </c>
      <c r="AD24" s="150" t="inlineStr">
        <is>
          <t>Full – templatable with the Python generator</t>
        </is>
      </c>
      <c r="AE24" s="160">
        <f>IF(AD24="","",VLOOKUP(AD24,Rubric!$A$87:$B$89,2,FALSE()))</f>
        <v/>
      </c>
      <c r="AF24" s="150" t="inlineStr">
        <is>
          <t>Low – logs and forms, little fact-checking</t>
        </is>
      </c>
      <c r="AG24" s="160">
        <f>IF(AF24="","",VLOOKUP(AF24,Rubric!$A$93:$C$96,2,FALSE()))</f>
        <v/>
      </c>
      <c r="AH24" s="161">
        <f>IF(COUNT(AE24,AG24)=0,"",SUM(AE24,AG24))</f>
        <v/>
      </c>
      <c r="AI24" s="150" t="inlineStr">
        <is>
          <t>3–4 cluster titles</t>
        </is>
      </c>
      <c r="AJ24" s="160">
        <f>IF(AI24="","",VLOOKUP(AI24,Rubric!$A$100:$B$102,2,FALSE()))</f>
        <v/>
      </c>
      <c r="AK24" s="150" t="inlineStr">
        <is>
          <t>2 channels with distinct uses</t>
        </is>
      </c>
      <c r="AL24" s="160">
        <f>IF(AK24="","",VLOOKUP(AK24,Rubric!$A$106:$B$108,2,FALSE()))</f>
        <v/>
      </c>
      <c r="AM24" s="161">
        <f>IF(COUNT(AJ24,AL24)=0,"",SUM(AJ24,AL24))</f>
        <v/>
      </c>
      <c r="AN24" s="164">
        <f>IF($B24="","",SUM(L24,T24,AC24,AH24,AM24))</f>
        <v/>
      </c>
      <c r="AO24" s="150" t="n"/>
      <c r="AP24" s="150" t="n"/>
      <c r="AQ24" s="150" t="n"/>
      <c r="AR24" s="160">
        <f>IF(OR(W24="",X24=""),"",IF(OR(X24&gt;Rubric!$B$19,Y24&lt;Rubric!$B$18),"VETO",""))</f>
        <v/>
      </c>
      <c r="AS24" s="160">
        <f>IF(AF24="","",IF(VLOOKUP(AF24,Rubric!$A$93:$C$96,3,FALSE())="Yes","VETO",""))</f>
        <v/>
      </c>
      <c r="AT24" s="160">
        <f>IF($B24="","",IF(OR(AO24="Yes",AP24="Yes",AQ24="Yes",AR24="VETO",AS24="VETO"),"VETO",""))</f>
        <v/>
      </c>
      <c r="AU24" s="160">
        <f>IF($B24="","",12-COUNTA(F24,H24,J24,M24,O24,Q24,U24,AA24,AD24,AF24,AI24,AK24)+IF(AND(OR(W24="",X24=""),NOT(AND(W24="",X24=""))),1,0))</f>
        <v/>
      </c>
      <c r="AV24" s="165">
        <f>IF($B24="","",IF(AT24="VETO","Rejected – veto",IF(AU24&gt;0,"Incomplete ("&amp;AU24&amp;" missing)",IF(AN24&gt;=Rubric!$B$5,"Tier 1 – Approved",IF(AN24&gt;=Rubric!$B$6,"Tier 2 – Watchlist","Tier 3 – Rejected")))))</f>
        <v/>
      </c>
      <c r="AW24" s="160">
        <f>IF(OR($B24="",AT24="VETO"),"",IF(AU24&gt;0,"",1+SUMPRODUCT(($B$6:$B$60&lt;&gt;"")*($AT$6:$AT$60&lt;&gt;"VETO")*($AU$6:$AU$60=0)*($AN$6:$AN$60&gt;AN24))))</f>
        <v/>
      </c>
      <c r="AX24" s="150" t="n"/>
      <c r="AY24" s="150" t="inlineStr">
        <is>
          <t>BSR top3 ~400000, reviews top10 ~12, generic 30/48. Intent Medium – topic with some buying signal, freshness No – no recent entrants, defect None – no recurring defect. Based on Amazon search sampling Oct 2026, subagent research, and category benchmarks.</t>
        </is>
      </c>
      <c r="AZ24" s="150" t="inlineStr">
        <is>
          <t>Amazon.com search Oct 7 2026; subagent BSR sampling; category BSR proxies; policy: KDP low-content guidelines.</t>
        </is>
      </c>
    </row>
    <row r="25" ht="30" customHeight="1" s="198">
      <c r="A25" s="160">
        <f>IF($B25="","",ROW()-5)</f>
        <v/>
      </c>
      <c r="B25" s="150" t="inlineStr">
        <is>
          <t>Woodworking Project &amp; Materials Log</t>
        </is>
      </c>
      <c r="C25" s="150" t="inlineStr">
        <is>
          <t>Woodworking / maker projects</t>
        </is>
      </c>
      <c r="D25" s="150" t="inlineStr">
        <is>
          <t>Low-content</t>
        </is>
      </c>
      <c r="E25" s="151" t="n">
        <v>46302</v>
      </c>
      <c r="F25" s="152" t="n">
        <v>88000</v>
      </c>
      <c r="G25" s="160">
        <f>IF(F25="","",VLOOKUP(F25,Rubric!$A$37:$B$40,2,TRUE()))</f>
        <v/>
      </c>
      <c r="H25" s="150" t="inlineStr">
        <is>
          <t>Medium – topic with some buying signal</t>
        </is>
      </c>
      <c r="I25" s="160">
        <f>IF(H25="","",VLOOKUP(H25,Rubric!$A$63:$B$65,2,FALSE()))</f>
        <v/>
      </c>
      <c r="J25" s="150" t="inlineStr">
        <is>
          <t>No – no recent entrants</t>
        </is>
      </c>
      <c r="K25" s="160">
        <f>IF(J25="","",VLOOKUP(J25,Rubric!$A$69:$B$71,2,FALSE()))</f>
        <v/>
      </c>
      <c r="L25" s="161">
        <f>IF(COUNT(G25,I25,K25)=0,"",SUM(G25,I25,K25))</f>
        <v/>
      </c>
      <c r="M25" s="152" t="n">
        <v>20</v>
      </c>
      <c r="N25" s="160">
        <f>IF(M25="","",VLOOKUP(M25,Rubric!$A$44:$B$47,2,TRUE()))</f>
        <v/>
      </c>
      <c r="O25" s="150" t="inlineStr">
        <is>
          <t>None – no recurring defect</t>
        </is>
      </c>
      <c r="P25" s="160">
        <f>IF(O25="","",VLOOKUP(O25,Rubric!$A$75:$B$77,2,FALSE()))</f>
        <v/>
      </c>
      <c r="Q25" s="154" t="n">
        <v>40</v>
      </c>
      <c r="R25" s="162">
        <f>IF(Q25="","",Q25/Rubric!$B$7)</f>
        <v/>
      </c>
      <c r="S25" s="160">
        <f>IF(R25="","",VLOOKUP(R25,Rubric!$A$51:$B$53,2,TRUE()))</f>
        <v/>
      </c>
      <c r="T25" s="161">
        <f>IF(COUNT(N25,P25,S25)=0,"",SUM(N25,P25,S25))</f>
        <v/>
      </c>
      <c r="U25" s="156" t="n">
        <v>2.9</v>
      </c>
      <c r="V25" s="160">
        <f>IF(U25="","",VLOOKUP(MAX(U25,0),Rubric!$A$57:$B$59,2,TRUE()))</f>
        <v/>
      </c>
      <c r="W25" s="156" t="n"/>
      <c r="X25" s="157" t="n"/>
      <c r="Y25" s="163">
        <f>IF(OR(W25="",X25=""),"",IF(AND(W25&gt;=Rubric!$B$8,W25&lt;=Rubric!$B$9),IF(Rubric!$B$13=1,(W25-X25*Rubric!$B$12)*Rubric!$B$10,W25*Rubric!$B$10-X25*Rubric!$B$12),W25*Rubric!$B$11))</f>
        <v/>
      </c>
      <c r="Z25" s="160">
        <f>IF($B25="","",IF(AND(W25="",X25=""),7,IF(OR(W25="",X25=""),"",IF(X25&gt;Rubric!$B$17,0,IF(AND(Y25&gt;Rubric!$B$14,X25&lt;Rubric!$B$15),7,IF(Y25&gt;Rubric!$B$16,4,0))))))</f>
        <v/>
      </c>
      <c r="AA25" s="150" t="inlineStr">
        <is>
          <t>Low – utility log or workbook, &lt;2%</t>
        </is>
      </c>
      <c r="AB25" s="160">
        <f>IF(AA25="","",VLOOKUP(AA25,Rubric!$A$81:$B$83,2,FALSE()))</f>
        <v/>
      </c>
      <c r="AC25" s="161">
        <f>IF(COUNT(V25,Z25,AB25)=0,"",SUM(V25,Z25,AB25))</f>
        <v/>
      </c>
      <c r="AD25" s="150" t="inlineStr">
        <is>
          <t>Full – templatable with the Python generator</t>
        </is>
      </c>
      <c r="AE25" s="160">
        <f>IF(AD25="","",VLOOKUP(AD25,Rubric!$A$87:$B$89,2,FALSE()))</f>
        <v/>
      </c>
      <c r="AF25" s="150" t="inlineStr">
        <is>
          <t>Low – logs and forms, little fact-checking</t>
        </is>
      </c>
      <c r="AG25" s="160">
        <f>IF(AF25="","",VLOOKUP(AF25,Rubric!$A$93:$C$96,2,FALSE()))</f>
        <v/>
      </c>
      <c r="AH25" s="161">
        <f>IF(COUNT(AE25,AG25)=0,"",SUM(AE25,AG25))</f>
        <v/>
      </c>
      <c r="AI25" s="150" t="inlineStr">
        <is>
          <t>3–4 cluster titles</t>
        </is>
      </c>
      <c r="AJ25" s="160">
        <f>IF(AI25="","",VLOOKUP(AI25,Rubric!$A$100:$B$102,2,FALSE()))</f>
        <v/>
      </c>
      <c r="AK25" s="150" t="inlineStr">
        <is>
          <t>2 channels with distinct uses</t>
        </is>
      </c>
      <c r="AL25" s="160">
        <f>IF(AK25="","",VLOOKUP(AK25,Rubric!$A$106:$B$108,2,FALSE()))</f>
        <v/>
      </c>
      <c r="AM25" s="161">
        <f>IF(COUNT(AJ25,AL25)=0,"",SUM(AJ25,AL25))</f>
        <v/>
      </c>
      <c r="AN25" s="164">
        <f>IF($B25="","",SUM(L25,T25,AC25,AH25,AM25))</f>
        <v/>
      </c>
      <c r="AO25" s="150" t="n"/>
      <c r="AP25" s="150" t="n"/>
      <c r="AQ25" s="150" t="n"/>
      <c r="AR25" s="160">
        <f>IF(OR(W25="",X25=""),"",IF(OR(X25&gt;Rubric!$B$19,Y25&lt;Rubric!$B$18),"VETO",""))</f>
        <v/>
      </c>
      <c r="AS25" s="160">
        <f>IF(AF25="","",IF(VLOOKUP(AF25,Rubric!$A$93:$C$96,3,FALSE())="Yes","VETO",""))</f>
        <v/>
      </c>
      <c r="AT25" s="160">
        <f>IF($B25="","",IF(OR(AO25="Yes",AP25="Yes",AQ25="Yes",AR25="VETO",AS25="VETO"),"VETO",""))</f>
        <v/>
      </c>
      <c r="AU25" s="160">
        <f>IF($B25="","",12-COUNTA(F25,H25,J25,M25,O25,Q25,U25,AA25,AD25,AF25,AI25,AK25)+IF(AND(OR(W25="",X25=""),NOT(AND(W25="",X25=""))),1,0))</f>
        <v/>
      </c>
      <c r="AV25" s="165">
        <f>IF($B25="","",IF(AT25="VETO","Rejected – veto",IF(AU25&gt;0,"Incomplete ("&amp;AU25&amp;" missing)",IF(AN25&gt;=Rubric!$B$5,"Tier 1 – Approved",IF(AN25&gt;=Rubric!$B$6,"Tier 2 – Watchlist","Tier 3 – Rejected")))))</f>
        <v/>
      </c>
      <c r="AW25" s="160">
        <f>IF(OR($B25="",AT25="VETO"),"",IF(AU25&gt;0,"",1+SUMPRODUCT(($B$6:$B$60&lt;&gt;"")*($AT$6:$AT$60&lt;&gt;"VETO")*($AU$6:$AU$60=0)*($AN$6:$AN$60&gt;AN25))))</f>
        <v/>
      </c>
      <c r="AX25" s="150" t="n"/>
      <c r="AY25" s="150" t="inlineStr">
        <is>
          <t>BSR top3 ~88000, reviews top10 ~20, generic 40/48. Intent Medium – topic with some buying signal, freshness No – no recent entrants, defect None – no recurring defect. Based on Amazon search sampling Oct 2026, subagent research, and category benchmarks.</t>
        </is>
      </c>
      <c r="AZ25" s="150" t="inlineStr">
        <is>
          <t>Amazon.com search Oct 7 2026; subagent BSR sampling; category BSR proxies; policy: KDP low-content guidelines.</t>
        </is>
      </c>
    </row>
    <row r="26" ht="30" customHeight="1" s="198">
      <c r="A26" s="160">
        <f>IF($B26="","",ROW()-5)</f>
        <v/>
      </c>
      <c r="B26" s="150" t="inlineStr">
        <is>
          <t>Cleaning Business Job &amp; Quality-Control Log</t>
        </is>
      </c>
      <c r="C26" s="150" t="inlineStr">
        <is>
          <t>Cleaning service operations</t>
        </is>
      </c>
      <c r="D26" s="150" t="inlineStr">
        <is>
          <t>Low-content</t>
        </is>
      </c>
      <c r="E26" s="151" t="n">
        <v>46302</v>
      </c>
      <c r="F26" s="152" t="n">
        <v>2480000</v>
      </c>
      <c r="G26" s="160">
        <f>IF(F26="","",VLOOKUP(F26,Rubric!$A$37:$B$40,2,TRUE()))</f>
        <v/>
      </c>
      <c r="H26" s="150" t="inlineStr">
        <is>
          <t>Low – vague, gift or inspirational</t>
        </is>
      </c>
      <c r="I26" s="160">
        <f>IF(H26="","",VLOOKUP(H26,Rubric!$A$63:$B$65,2,FALSE()))</f>
        <v/>
      </c>
      <c r="J26" s="150" t="inlineStr">
        <is>
          <t>No – no recent entrants</t>
        </is>
      </c>
      <c r="K26" s="160">
        <f>IF(J26="","",VLOOKUP(J26,Rubric!$A$69:$B$71,2,FALSE()))</f>
        <v/>
      </c>
      <c r="L26" s="161">
        <f>IF(COUNT(G26,I26,K26)=0,"",SUM(G26,I26,K26))</f>
        <v/>
      </c>
      <c r="M26" s="152" t="n">
        <v>2</v>
      </c>
      <c r="N26" s="160">
        <f>IF(M26="","",VLOOKUP(M26,Rubric!$A$44:$B$47,2,TRUE()))</f>
        <v/>
      </c>
      <c r="O26" s="150" t="inlineStr">
        <is>
          <t>None – no recurring defect</t>
        </is>
      </c>
      <c r="P26" s="160">
        <f>IF(O26="","",VLOOKUP(O26,Rubric!$A$75:$B$77,2,FALSE()))</f>
        <v/>
      </c>
      <c r="Q26" s="154" t="n">
        <v>42</v>
      </c>
      <c r="R26" s="162">
        <f>IF(Q26="","",Q26/Rubric!$B$7)</f>
        <v/>
      </c>
      <c r="S26" s="160">
        <f>IF(R26="","",VLOOKUP(R26,Rubric!$A$51:$B$53,2,TRUE()))</f>
        <v/>
      </c>
      <c r="T26" s="161">
        <f>IF(COUNT(N26,P26,S26)=0,"",SUM(N26,P26,S26))</f>
        <v/>
      </c>
      <c r="U26" s="156" t="n">
        <v>2.5</v>
      </c>
      <c r="V26" s="160">
        <f>IF(U26="","",VLOOKUP(MAX(U26,0),Rubric!$A$57:$B$59,2,TRUE()))</f>
        <v/>
      </c>
      <c r="W26" s="156" t="n"/>
      <c r="X26" s="157" t="n"/>
      <c r="Y26" s="163">
        <f>IF(OR(W26="",X26=""),"",IF(AND(W26&gt;=Rubric!$B$8,W26&lt;=Rubric!$B$9),IF(Rubric!$B$13=1,(W26-X26*Rubric!$B$12)*Rubric!$B$10,W26*Rubric!$B$10-X26*Rubric!$B$12),W26*Rubric!$B$11))</f>
        <v/>
      </c>
      <c r="Z26" s="160">
        <f>IF($B26="","",IF(AND(W26="",X26=""),7,IF(OR(W26="",X26=""),"",IF(X26&gt;Rubric!$B$17,0,IF(AND(Y26&gt;Rubric!$B$14,X26&lt;Rubric!$B$15),7,IF(Y26&gt;Rubric!$B$16,4,0))))))</f>
        <v/>
      </c>
      <c r="AA26" s="150" t="inlineStr">
        <is>
          <t>Low – utility log or workbook, &lt;2%</t>
        </is>
      </c>
      <c r="AB26" s="160">
        <f>IF(AA26="","",VLOOKUP(AA26,Rubric!$A$81:$B$83,2,FALSE()))</f>
        <v/>
      </c>
      <c r="AC26" s="161">
        <f>IF(COUNT(V26,Z26,AB26)=0,"",SUM(V26,Z26,AB26))</f>
        <v/>
      </c>
      <c r="AD26" s="150" t="inlineStr">
        <is>
          <t>Full – templatable with the Python generator</t>
        </is>
      </c>
      <c r="AE26" s="160">
        <f>IF(AD26="","",VLOOKUP(AD26,Rubric!$A$87:$B$89,2,FALSE()))</f>
        <v/>
      </c>
      <c r="AF26" s="150" t="inlineStr">
        <is>
          <t>Low – logs and forms, little fact-checking</t>
        </is>
      </c>
      <c r="AG26" s="160">
        <f>IF(AF26="","",VLOOKUP(AF26,Rubric!$A$93:$C$96,2,FALSE()))</f>
        <v/>
      </c>
      <c r="AH26" s="161">
        <f>IF(COUNT(AE26,AG26)=0,"",SUM(AE26,AG26))</f>
        <v/>
      </c>
      <c r="AI26" s="150" t="inlineStr">
        <is>
          <t>2–3 cluster titles</t>
        </is>
      </c>
      <c r="AJ26" s="160">
        <f>IF(AI26="","",VLOOKUP(AI26,Rubric!$A$100:$B$102,2,FALSE()))</f>
        <v/>
      </c>
      <c r="AK26" s="150" t="inlineStr">
        <is>
          <t>1 channel focus</t>
        </is>
      </c>
      <c r="AL26" s="160">
        <f>IF(AK26="","",VLOOKUP(AK26,Rubric!$A$106:$B$108,2,FALSE()))</f>
        <v/>
      </c>
      <c r="AM26" s="161">
        <f>IF(COUNT(AJ26,AL26)=0,"",SUM(AJ26,AL26))</f>
        <v/>
      </c>
      <c r="AN26" s="164">
        <f>IF($B26="","",SUM(L26,T26,AC26,AH26,AM26))</f>
        <v/>
      </c>
      <c r="AO26" s="150" t="n"/>
      <c r="AP26" s="150" t="n"/>
      <c r="AQ26" s="150" t="n"/>
      <c r="AR26" s="160">
        <f>IF(OR(W26="",X26=""),"",IF(OR(X26&gt;Rubric!$B$19,Y26&lt;Rubric!$B$18),"VETO",""))</f>
        <v/>
      </c>
      <c r="AS26" s="160">
        <f>IF(AF26="","",IF(VLOOKUP(AF26,Rubric!$A$93:$C$96,3,FALSE())="Yes","VETO",""))</f>
        <v/>
      </c>
      <c r="AT26" s="160">
        <f>IF($B26="","",IF(OR(AO26="Yes",AP26="Yes",AQ26="Yes",AR26="VETO",AS26="VETO"),"VETO",""))</f>
        <v/>
      </c>
      <c r="AU26" s="160">
        <f>IF($B26="","",12-COUNTA(F26,H26,J26,M26,O26,Q26,U26,AA26,AD26,AF26,AI26,AK26)+IF(AND(OR(W26="",X26=""),NOT(AND(W26="",X26=""))),1,0))</f>
        <v/>
      </c>
      <c r="AV26" s="165">
        <f>IF($B26="","",IF(AT26="VETO","Rejected – veto",IF(AU26&gt;0,"Incomplete ("&amp;AU26&amp;" missing)",IF(AN26&gt;=Rubric!$B$5,"Tier 1 – Approved",IF(AN26&gt;=Rubric!$B$6,"Tier 2 – Watchlist","Tier 3 – Rejected")))))</f>
        <v/>
      </c>
      <c r="AW26" s="160">
        <f>IF(OR($B26="",AT26="VETO"),"",IF(AU26&gt;0,"",1+SUMPRODUCT(($B$6:$B$60&lt;&gt;"")*($AT$6:$AT$60&lt;&gt;"VETO")*($AU$6:$AU$60=0)*($AN$6:$AN$60&gt;AN26))))</f>
        <v/>
      </c>
      <c r="AX26" s="150" t="n"/>
      <c r="AY26" s="150" t="inlineStr">
        <is>
          <t>BSR top3 ~2480000, reviews top10 ~2, generic 42/48. Intent Low – vague, gift or inspirational, freshness No – no recent entrants, defect None – no recurring defect. Based on Amazon search sampling Oct 2026, subagent research, and category benchmarks.</t>
        </is>
      </c>
      <c r="AZ26" s="150" t="inlineStr">
        <is>
          <t>Amazon.com search Oct 7 2026; subagent BSR sampling; category BSR proxies; policy: KDP low-content guidelines.</t>
        </is>
      </c>
    </row>
    <row r="27" ht="30" customHeight="1" s="198">
      <c r="A27" s="160">
        <f>IF($B27="","",ROW()-5)</f>
        <v/>
      </c>
      <c r="B27" s="150" t="inlineStr">
        <is>
          <t>Handyman Service Call &amp; Job Record Book</t>
        </is>
      </c>
      <c r="C27" s="150" t="inlineStr">
        <is>
          <t>Handyman / field-service operations</t>
        </is>
      </c>
      <c r="D27" s="150" t="inlineStr">
        <is>
          <t>Low-content</t>
        </is>
      </c>
      <c r="E27" s="151" t="n">
        <v>46302</v>
      </c>
      <c r="F27" s="152" t="n">
        <v>2570000</v>
      </c>
      <c r="G27" s="160">
        <f>IF(F27="","",VLOOKUP(F27,Rubric!$A$37:$B$40,2,TRUE()))</f>
        <v/>
      </c>
      <c r="H27" s="150" t="inlineStr">
        <is>
          <t>Medium – topic with some buying signal</t>
        </is>
      </c>
      <c r="I27" s="160">
        <f>IF(H27="","",VLOOKUP(H27,Rubric!$A$63:$B$65,2,FALSE()))</f>
        <v/>
      </c>
      <c r="J27" s="150" t="inlineStr">
        <is>
          <t>No – no recent entrants</t>
        </is>
      </c>
      <c r="K27" s="160">
        <f>IF(J27="","",VLOOKUP(J27,Rubric!$A$69:$B$71,2,FALSE()))</f>
        <v/>
      </c>
      <c r="L27" s="161">
        <f>IF(COUNT(G27,I27,K27)=0,"",SUM(G27,I27,K27))</f>
        <v/>
      </c>
      <c r="M27" s="152" t="n">
        <v>3</v>
      </c>
      <c r="N27" s="160">
        <f>IF(M27="","",VLOOKUP(M27,Rubric!$A$44:$B$47,2,TRUE()))</f>
        <v/>
      </c>
      <c r="O27" s="150" t="inlineStr">
        <is>
          <t>None – no recurring defect</t>
        </is>
      </c>
      <c r="P27" s="160">
        <f>IF(O27="","",VLOOKUP(O27,Rubric!$A$75:$B$77,2,FALSE()))</f>
        <v/>
      </c>
      <c r="Q27" s="154" t="n">
        <v>38</v>
      </c>
      <c r="R27" s="162">
        <f>IF(Q27="","",Q27/Rubric!$B$7)</f>
        <v/>
      </c>
      <c r="S27" s="160">
        <f>IF(R27="","",VLOOKUP(R27,Rubric!$A$51:$B$53,2,TRUE()))</f>
        <v/>
      </c>
      <c r="T27" s="161">
        <f>IF(COUNT(N27,P27,S27)=0,"",SUM(N27,P27,S27))</f>
        <v/>
      </c>
      <c r="U27" s="156" t="n">
        <v>2.6</v>
      </c>
      <c r="V27" s="160">
        <f>IF(U27="","",VLOOKUP(MAX(U27,0),Rubric!$A$57:$B$59,2,TRUE()))</f>
        <v/>
      </c>
      <c r="W27" s="156" t="n"/>
      <c r="X27" s="157" t="n"/>
      <c r="Y27" s="163">
        <f>IF(OR(W27="",X27=""),"",IF(AND(W27&gt;=Rubric!$B$8,W27&lt;=Rubric!$B$9),IF(Rubric!$B$13=1,(W27-X27*Rubric!$B$12)*Rubric!$B$10,W27*Rubric!$B$10-X27*Rubric!$B$12),W27*Rubric!$B$11))</f>
        <v/>
      </c>
      <c r="Z27" s="160">
        <f>IF($B27="","",IF(AND(W27="",X27=""),7,IF(OR(W27="",X27=""),"",IF(X27&gt;Rubric!$B$17,0,IF(AND(Y27&gt;Rubric!$B$14,X27&lt;Rubric!$B$15),7,IF(Y27&gt;Rubric!$B$16,4,0))))))</f>
        <v/>
      </c>
      <c r="AA27" s="150" t="inlineStr">
        <is>
          <t>Low – utility log or workbook, &lt;2%</t>
        </is>
      </c>
      <c r="AB27" s="160">
        <f>IF(AA27="","",VLOOKUP(AA27,Rubric!$A$81:$B$83,2,FALSE()))</f>
        <v/>
      </c>
      <c r="AC27" s="161">
        <f>IF(COUNT(V27,Z27,AB27)=0,"",SUM(V27,Z27,AB27))</f>
        <v/>
      </c>
      <c r="AD27" s="150" t="inlineStr">
        <is>
          <t>Full – templatable with the Python generator</t>
        </is>
      </c>
      <c r="AE27" s="160">
        <f>IF(AD27="","",VLOOKUP(AD27,Rubric!$A$87:$B$89,2,FALSE()))</f>
        <v/>
      </c>
      <c r="AF27" s="150" t="inlineStr">
        <is>
          <t>Low – logs and forms, little fact-checking</t>
        </is>
      </c>
      <c r="AG27" s="160">
        <f>IF(AF27="","",VLOOKUP(AF27,Rubric!$A$93:$C$96,2,FALSE()))</f>
        <v/>
      </c>
      <c r="AH27" s="161">
        <f>IF(COUNT(AE27,AG27)=0,"",SUM(AE27,AG27))</f>
        <v/>
      </c>
      <c r="AI27" s="150" t="inlineStr">
        <is>
          <t>2–3 cluster titles</t>
        </is>
      </c>
      <c r="AJ27" s="160">
        <f>IF(AI27="","",VLOOKUP(AI27,Rubric!$A$100:$B$102,2,FALSE()))</f>
        <v/>
      </c>
      <c r="AK27" s="150" t="inlineStr">
        <is>
          <t>1 channel focus</t>
        </is>
      </c>
      <c r="AL27" s="160">
        <f>IF(AK27="","",VLOOKUP(AK27,Rubric!$A$106:$B$108,2,FALSE()))</f>
        <v/>
      </c>
      <c r="AM27" s="161">
        <f>IF(COUNT(AJ27,AL27)=0,"",SUM(AJ27,AL27))</f>
        <v/>
      </c>
      <c r="AN27" s="164">
        <f>IF($B27="","",SUM(L27,T27,AC27,AH27,AM27))</f>
        <v/>
      </c>
      <c r="AO27" s="150" t="n"/>
      <c r="AP27" s="150" t="n"/>
      <c r="AQ27" s="150" t="n"/>
      <c r="AR27" s="160">
        <f>IF(OR(W27="",X27=""),"",IF(OR(X27&gt;Rubric!$B$19,Y27&lt;Rubric!$B$18),"VETO",""))</f>
        <v/>
      </c>
      <c r="AS27" s="160">
        <f>IF(AF27="","",IF(VLOOKUP(AF27,Rubric!$A$93:$C$96,3,FALSE())="Yes","VETO",""))</f>
        <v/>
      </c>
      <c r="AT27" s="160">
        <f>IF($B27="","",IF(OR(AO27="Yes",AP27="Yes",AQ27="Yes",AR27="VETO",AS27="VETO"),"VETO",""))</f>
        <v/>
      </c>
      <c r="AU27" s="160">
        <f>IF($B27="","",12-COUNTA(F27,H27,J27,M27,O27,Q27,U27,AA27,AD27,AF27,AI27,AK27)+IF(AND(OR(W27="",X27=""),NOT(AND(W27="",X27=""))),1,0))</f>
        <v/>
      </c>
      <c r="AV27" s="165">
        <f>IF($B27="","",IF(AT27="VETO","Rejected – veto",IF(AU27&gt;0,"Incomplete ("&amp;AU27&amp;" missing)",IF(AN27&gt;=Rubric!$B$5,"Tier 1 – Approved",IF(AN27&gt;=Rubric!$B$6,"Tier 2 – Watchlist","Tier 3 – Rejected")))))</f>
        <v/>
      </c>
      <c r="AW27" s="160">
        <f>IF(OR($B27="",AT27="VETO"),"",IF(AU27&gt;0,"",1+SUMPRODUCT(($B$6:$B$60&lt;&gt;"")*($AT$6:$AT$60&lt;&gt;"VETO")*($AU$6:$AU$60=0)*($AN$6:$AN$60&gt;AN27))))</f>
        <v/>
      </c>
      <c r="AX27" s="150" t="n"/>
      <c r="AY27" s="150" t="inlineStr">
        <is>
          <t>BSR top3 ~2570000, reviews top10 ~3, generic 38/48. Intent Medium – topic with some buying signal, freshness No – no recent entrants, defect None – no recurring defect. Based on Amazon search sampling Oct 2026, subagent research, and category benchmarks.</t>
        </is>
      </c>
      <c r="AZ27" s="150" t="inlineStr">
        <is>
          <t>Amazon.com search Oct 7 2026; subagent BSR sampling; category BSR proxies; policy: KDP low-content guidelines.</t>
        </is>
      </c>
    </row>
    <row r="28" ht="30" customHeight="1" s="198">
      <c r="A28" s="160">
        <f>IF($B28="","",ROW()-5)</f>
        <v/>
      </c>
      <c r="B28" s="150" t="inlineStr">
        <is>
          <t>Camping &amp; Hiking Trip Logbook</t>
        </is>
      </c>
      <c r="C28" s="150" t="inlineStr">
        <is>
          <t>Outdoor recreation / trip records</t>
        </is>
      </c>
      <c r="D28" s="150" t="inlineStr">
        <is>
          <t>Low-content</t>
        </is>
      </c>
      <c r="E28" s="151" t="n">
        <v>46302</v>
      </c>
      <c r="F28" s="152" t="n">
        <v>180000</v>
      </c>
      <c r="G28" s="160">
        <f>IF(F28="","",VLOOKUP(F28,Rubric!$A$37:$B$40,2,TRUE()))</f>
        <v/>
      </c>
      <c r="H28" s="150" t="inlineStr">
        <is>
          <t>Medium – topic with some buying signal</t>
        </is>
      </c>
      <c r="I28" s="160">
        <f>IF(H28="","",VLOOKUP(H28,Rubric!$A$63:$B$65,2,FALSE()))</f>
        <v/>
      </c>
      <c r="J28" s="150" t="inlineStr">
        <is>
          <t>Partial – new entrant but weak signals</t>
        </is>
      </c>
      <c r="K28" s="160">
        <f>IF(J28="","",VLOOKUP(J28,Rubric!$A$69:$B$71,2,FALSE()))</f>
        <v/>
      </c>
      <c r="L28" s="161">
        <f>IF(COUNT(G28,I28,K28)=0,"",SUM(G28,I28,K28))</f>
        <v/>
      </c>
      <c r="M28" s="152" t="n">
        <v>45</v>
      </c>
      <c r="N28" s="160">
        <f>IF(M28="","",VLOOKUP(M28,Rubric!$A$44:$B$47,2,TRUE()))</f>
        <v/>
      </c>
      <c r="O28" s="150" t="inlineStr">
        <is>
          <t>Some – 1–2 recurring complaints</t>
        </is>
      </c>
      <c r="P28" s="160">
        <f>IF(O28="","",VLOOKUP(O28,Rubric!$A$75:$B$77,2,FALSE()))</f>
        <v/>
      </c>
      <c r="Q28" s="154" t="n">
        <v>32</v>
      </c>
      <c r="R28" s="162">
        <f>IF(Q28="","",Q28/Rubric!$B$7)</f>
        <v/>
      </c>
      <c r="S28" s="160">
        <f>IF(R28="","",VLOOKUP(R28,Rubric!$A$51:$B$53,2,TRUE()))</f>
        <v/>
      </c>
      <c r="T28" s="161">
        <f>IF(COUNT(N28,P28,S28)=0,"",SUM(N28,P28,S28))</f>
        <v/>
      </c>
      <c r="U28" s="156" t="n">
        <v>3</v>
      </c>
      <c r="V28" s="160">
        <f>IF(U28="","",VLOOKUP(MAX(U28,0),Rubric!$A$57:$B$59,2,TRUE()))</f>
        <v/>
      </c>
      <c r="W28" s="156" t="n"/>
      <c r="X28" s="157" t="n"/>
      <c r="Y28" s="163">
        <f>IF(OR(W28="",X28=""),"",IF(AND(W28&gt;=Rubric!$B$8,W28&lt;=Rubric!$B$9),IF(Rubric!$B$13=1,(W28-X28*Rubric!$B$12)*Rubric!$B$10,W28*Rubric!$B$10-X28*Rubric!$B$12),W28*Rubric!$B$11))</f>
        <v/>
      </c>
      <c r="Z28" s="160">
        <f>IF($B28="","",IF(AND(W28="",X28=""),7,IF(OR(W28="",X28=""),"",IF(X28&gt;Rubric!$B$17,0,IF(AND(Y28&gt;Rubric!$B$14,X28&lt;Rubric!$B$15),7,IF(Y28&gt;Rubric!$B$16,4,0))))))</f>
        <v/>
      </c>
      <c r="AA28" s="150" t="inlineStr">
        <is>
          <t>Medium – 2–4%</t>
        </is>
      </c>
      <c r="AB28" s="160">
        <f>IF(AA28="","",VLOOKUP(AA28,Rubric!$A$81:$B$83,2,FALSE()))</f>
        <v/>
      </c>
      <c r="AC28" s="161">
        <f>IF(COUNT(V28,Z28,AB28)=0,"",SUM(V28,Z28,AB28))</f>
        <v/>
      </c>
      <c r="AD28" s="150" t="inlineStr">
        <is>
          <t>Full – templatable with the Python generator</t>
        </is>
      </c>
      <c r="AE28" s="160">
        <f>IF(AD28="","",VLOOKUP(AD28,Rubric!$A$87:$B$89,2,FALSE()))</f>
        <v/>
      </c>
      <c r="AF28" s="150" t="inlineStr">
        <is>
          <t>Low – logs and forms, little fact-checking</t>
        </is>
      </c>
      <c r="AG28" s="160">
        <f>IF(AF28="","",VLOOKUP(AF28,Rubric!$A$93:$C$96,2,FALSE()))</f>
        <v/>
      </c>
      <c r="AH28" s="161">
        <f>IF(COUNT(AE28,AG28)=0,"",SUM(AE28,AG28))</f>
        <v/>
      </c>
      <c r="AI28" s="150" t="inlineStr">
        <is>
          <t>3–4 cluster titles</t>
        </is>
      </c>
      <c r="AJ28" s="160">
        <f>IF(AI28="","",VLOOKUP(AI28,Rubric!$A$100:$B$102,2,FALSE()))</f>
        <v/>
      </c>
      <c r="AK28" s="150" t="inlineStr">
        <is>
          <t>2 channels with distinct uses</t>
        </is>
      </c>
      <c r="AL28" s="160">
        <f>IF(AK28="","",VLOOKUP(AK28,Rubric!$A$106:$B$108,2,FALSE()))</f>
        <v/>
      </c>
      <c r="AM28" s="161">
        <f>IF(COUNT(AJ28,AL28)=0,"",SUM(AJ28,AL28))</f>
        <v/>
      </c>
      <c r="AN28" s="164">
        <f>IF($B28="","",SUM(L28,T28,AC28,AH28,AM28))</f>
        <v/>
      </c>
      <c r="AO28" s="150" t="n"/>
      <c r="AP28" s="150" t="n"/>
      <c r="AQ28" s="150" t="n"/>
      <c r="AR28" s="160">
        <f>IF(OR(W28="",X28=""),"",IF(OR(X28&gt;Rubric!$B$19,Y28&lt;Rubric!$B$18),"VETO",""))</f>
        <v/>
      </c>
      <c r="AS28" s="160">
        <f>IF(AF28="","",IF(VLOOKUP(AF28,Rubric!$A$93:$C$96,3,FALSE())="Yes","VETO",""))</f>
        <v/>
      </c>
      <c r="AT28" s="160">
        <f>IF($B28="","",IF(OR(AO28="Yes",AP28="Yes",AQ28="Yes",AR28="VETO",AS28="VETO"),"VETO",""))</f>
        <v/>
      </c>
      <c r="AU28" s="160">
        <f>IF($B28="","",12-COUNTA(F28,H28,J28,M28,O28,Q28,U28,AA28,AD28,AF28,AI28,AK28)+IF(AND(OR(W28="",X28=""),NOT(AND(W28="",X28=""))),1,0))</f>
        <v/>
      </c>
      <c r="AV28" s="165">
        <f>IF($B28="","",IF(AT28="VETO","Rejected – veto",IF(AU28&gt;0,"Incomplete ("&amp;AU28&amp;" missing)",IF(AN28&gt;=Rubric!$B$5,"Tier 1 – Approved",IF(AN28&gt;=Rubric!$B$6,"Tier 2 – Watchlist","Tier 3 – Rejected")))))</f>
        <v/>
      </c>
      <c r="AW28" s="160">
        <f>IF(OR($B28="",AT28="VETO"),"",IF(AU28&gt;0,"",1+SUMPRODUCT(($B$6:$B$60&lt;&gt;"")*($AT$6:$AT$60&lt;&gt;"VETO")*($AU$6:$AU$60=0)*($AN$6:$AN$60&gt;AN28))))</f>
        <v/>
      </c>
      <c r="AX28" s="150" t="n"/>
      <c r="AY28" s="150" t="inlineStr">
        <is>
          <t>BSR top3 ~180000, reviews top10 ~45, generic 32/48. Intent Medium – topic with some buying signal, freshness Partial – new entrant but weak signals, defect Some – 1–2 recurring complaints. Based on Amazon search sampling Oct 2026, subagent research, and category benchmarks.</t>
        </is>
      </c>
      <c r="AZ28" s="150" t="inlineStr">
        <is>
          <t>Amazon.com search Oct 7 2026; subagent BSR sampling; category BSR proxies; policy: KDP low-content guidelines.</t>
        </is>
      </c>
    </row>
    <row r="29" ht="30" customHeight="1" s="198">
      <c r="A29" s="160">
        <f>IF($B29="","",ROW()-5)</f>
        <v/>
      </c>
      <c r="B29" s="150" t="inlineStr">
        <is>
          <t>Home Inventory &amp; Warranty Record Book</t>
        </is>
      </c>
      <c r="C29" s="150" t="inlineStr">
        <is>
          <t>Home records / ownership</t>
        </is>
      </c>
      <c r="D29" s="150" t="inlineStr">
        <is>
          <t>Low-content</t>
        </is>
      </c>
      <c r="E29" s="151" t="n">
        <v>46302</v>
      </c>
      <c r="F29" s="152" t="n">
        <v>300000</v>
      </c>
      <c r="G29" s="160">
        <f>IF(F29="","",VLOOKUP(F29,Rubric!$A$37:$B$40,2,TRUE()))</f>
        <v/>
      </c>
      <c r="H29" s="150" t="inlineStr">
        <is>
          <t>Medium – topic with some buying signal</t>
        </is>
      </c>
      <c r="I29" s="160">
        <f>IF(H29="","",VLOOKUP(H29,Rubric!$A$63:$B$65,2,FALSE()))</f>
        <v/>
      </c>
      <c r="J29" s="150" t="inlineStr">
        <is>
          <t>No – no recent entrants</t>
        </is>
      </c>
      <c r="K29" s="160">
        <f>IF(J29="","",VLOOKUP(J29,Rubric!$A$69:$B$71,2,FALSE()))</f>
        <v/>
      </c>
      <c r="L29" s="161">
        <f>IF(COUNT(G29,I29,K29)=0,"",SUM(G29,I29,K29))</f>
        <v/>
      </c>
      <c r="M29" s="152" t="n">
        <v>25</v>
      </c>
      <c r="N29" s="160">
        <f>IF(M29="","",VLOOKUP(M29,Rubric!$A$44:$B$47,2,TRUE()))</f>
        <v/>
      </c>
      <c r="O29" s="150" t="inlineStr">
        <is>
          <t>Some – 1–2 recurring complaints</t>
        </is>
      </c>
      <c r="P29" s="160">
        <f>IF(O29="","",VLOOKUP(O29,Rubric!$A$75:$B$77,2,FALSE()))</f>
        <v/>
      </c>
      <c r="Q29" s="154" t="n">
        <v>38</v>
      </c>
      <c r="R29" s="162">
        <f>IF(Q29="","",Q29/Rubric!$B$7)</f>
        <v/>
      </c>
      <c r="S29" s="160">
        <f>IF(R29="","",VLOOKUP(R29,Rubric!$A$51:$B$53,2,TRUE()))</f>
        <v/>
      </c>
      <c r="T29" s="161">
        <f>IF(COUNT(N29,P29,S29)=0,"",SUM(N29,P29,S29))</f>
        <v/>
      </c>
      <c r="U29" s="156" t="n">
        <v>2.8</v>
      </c>
      <c r="V29" s="160">
        <f>IF(U29="","",VLOOKUP(MAX(U29,0),Rubric!$A$57:$B$59,2,TRUE()))</f>
        <v/>
      </c>
      <c r="W29" s="156" t="n"/>
      <c r="X29" s="157" t="n"/>
      <c r="Y29" s="163">
        <f>IF(OR(W29="",X29=""),"",IF(AND(W29&gt;=Rubric!$B$8,W29&lt;=Rubric!$B$9),IF(Rubric!$B$13=1,(W29-X29*Rubric!$B$12)*Rubric!$B$10,W29*Rubric!$B$10-X29*Rubric!$B$12),W29*Rubric!$B$11))</f>
        <v/>
      </c>
      <c r="Z29" s="160">
        <f>IF($B29="","",IF(AND(W29="",X29=""),7,IF(OR(W29="",X29=""),"",IF(X29&gt;Rubric!$B$17,0,IF(AND(Y29&gt;Rubric!$B$14,X29&lt;Rubric!$B$15),7,IF(Y29&gt;Rubric!$B$16,4,0))))))</f>
        <v/>
      </c>
      <c r="AA29" s="150" t="inlineStr">
        <is>
          <t>Low – utility log or workbook, &lt;2%</t>
        </is>
      </c>
      <c r="AB29" s="160">
        <f>IF(AA29="","",VLOOKUP(AA29,Rubric!$A$81:$B$83,2,FALSE()))</f>
        <v/>
      </c>
      <c r="AC29" s="161">
        <f>IF(COUNT(V29,Z29,AB29)=0,"",SUM(V29,Z29,AB29))</f>
        <v/>
      </c>
      <c r="AD29" s="150" t="inlineStr">
        <is>
          <t>Full – templatable with the Python generator</t>
        </is>
      </c>
      <c r="AE29" s="160">
        <f>IF(AD29="","",VLOOKUP(AD29,Rubric!$A$87:$B$89,2,FALSE()))</f>
        <v/>
      </c>
      <c r="AF29" s="150" t="inlineStr">
        <is>
          <t>Low – logs and forms, little fact-checking</t>
        </is>
      </c>
      <c r="AG29" s="160">
        <f>IF(AF29="","",VLOOKUP(AF29,Rubric!$A$93:$C$96,2,FALSE()))</f>
        <v/>
      </c>
      <c r="AH29" s="161">
        <f>IF(COUNT(AE29,AG29)=0,"",SUM(AE29,AG29))</f>
        <v/>
      </c>
      <c r="AI29" s="150" t="inlineStr">
        <is>
          <t>5+ cluster titles</t>
        </is>
      </c>
      <c r="AJ29" s="160">
        <f>IF(AI29="","",VLOOKUP(AI29,Rubric!$A$100:$B$102,2,FALSE()))</f>
        <v/>
      </c>
      <c r="AK29" s="150" t="inlineStr">
        <is>
          <t>3+ channels with distinct uses</t>
        </is>
      </c>
      <c r="AL29" s="160">
        <f>IF(AK29="","",VLOOKUP(AK29,Rubric!$A$106:$B$108,2,FALSE()))</f>
        <v/>
      </c>
      <c r="AM29" s="161">
        <f>IF(COUNT(AJ29,AL29)=0,"",SUM(AJ29,AL29))</f>
        <v/>
      </c>
      <c r="AN29" s="164">
        <f>IF($B29="","",SUM(L29,T29,AC29,AH29,AM29))</f>
        <v/>
      </c>
      <c r="AO29" s="150" t="n"/>
      <c r="AP29" s="150" t="n"/>
      <c r="AQ29" s="150" t="n"/>
      <c r="AR29" s="160">
        <f>IF(OR(W29="",X29=""),"",IF(OR(X29&gt;Rubric!$B$19,Y29&lt;Rubric!$B$18),"VETO",""))</f>
        <v/>
      </c>
      <c r="AS29" s="160">
        <f>IF(AF29="","",IF(VLOOKUP(AF29,Rubric!$A$93:$C$96,3,FALSE())="Yes","VETO",""))</f>
        <v/>
      </c>
      <c r="AT29" s="160">
        <f>IF($B29="","",IF(OR(AO29="Yes",AP29="Yes",AQ29="Yes",AR29="VETO",AS29="VETO"),"VETO",""))</f>
        <v/>
      </c>
      <c r="AU29" s="160">
        <f>IF($B29="","",12-COUNTA(F29,H29,J29,M29,O29,Q29,U29,AA29,AD29,AF29,AI29,AK29)+IF(AND(OR(W29="",X29=""),NOT(AND(W29="",X29=""))),1,0))</f>
        <v/>
      </c>
      <c r="AV29" s="165">
        <f>IF($B29="","",IF(AT29="VETO","Rejected – veto",IF(AU29&gt;0,"Incomplete ("&amp;AU29&amp;" missing)",IF(AN29&gt;=Rubric!$B$5,"Tier 1 – Approved",IF(AN29&gt;=Rubric!$B$6,"Tier 2 – Watchlist","Tier 3 – Rejected")))))</f>
        <v/>
      </c>
      <c r="AW29" s="160">
        <f>IF(OR($B29="",AT29="VETO"),"",IF(AU29&gt;0,"",1+SUMPRODUCT(($B$6:$B$60&lt;&gt;"")*($AT$6:$AT$60&lt;&gt;"VETO")*($AU$6:$AU$60=0)*($AN$6:$AN$60&gt;AN29))))</f>
        <v/>
      </c>
      <c r="AX29" s="150" t="n"/>
      <c r="AY29" s="150" t="inlineStr">
        <is>
          <t>BSR top3 ~300000, reviews top10 ~25, generic 38/48. Intent Medium – topic with some buying signal, freshness No – no recent entrants, defect Some – 1–2 recurring complaints. Based on Amazon search sampling Oct 2026, subagent research, and category benchmarks.</t>
        </is>
      </c>
      <c r="AZ29" s="150" t="inlineStr">
        <is>
          <t>Amazon.com search Oct 7 2026; subagent BSR sampling; category BSR proxies; policy: KDP low-content guidelines.</t>
        </is>
      </c>
    </row>
    <row r="30" ht="30" customHeight="1" s="198">
      <c r="A30" s="160">
        <f>IF($B30="","",ROW()-5)</f>
        <v/>
      </c>
      <c r="B30" s="150" t="inlineStr">
        <is>
          <t>Small Farm Equipment Inspection &amp; Maintenance Logbook</t>
        </is>
      </c>
      <c r="C30" s="150" t="inlineStr">
        <is>
          <t>Small farm / equipment operations</t>
        </is>
      </c>
      <c r="D30" s="150" t="inlineStr">
        <is>
          <t>Low-content</t>
        </is>
      </c>
      <c r="E30" s="151" t="n">
        <v>46302</v>
      </c>
      <c r="F30" s="152" t="n">
        <v>665000</v>
      </c>
      <c r="G30" s="160">
        <f>IF(F30="","",VLOOKUP(F30,Rubric!$A$37:$B$40,2,TRUE()))</f>
        <v/>
      </c>
      <c r="H30" s="150" t="inlineStr">
        <is>
          <t>Medium – topic with some buying signal</t>
        </is>
      </c>
      <c r="I30" s="160">
        <f>IF(H30="","",VLOOKUP(H30,Rubric!$A$63:$B$65,2,FALSE()))</f>
        <v/>
      </c>
      <c r="J30" s="150" t="inlineStr">
        <is>
          <t>Partial – new entrant but weak signals</t>
        </is>
      </c>
      <c r="K30" s="160">
        <f>IF(J30="","",VLOOKUP(J30,Rubric!$A$69:$B$71,2,FALSE()))</f>
        <v/>
      </c>
      <c r="L30" s="161">
        <f>IF(COUNT(G30,I30,K30)=0,"",SUM(G30,I30,K30))</f>
        <v/>
      </c>
      <c r="M30" s="152" t="n">
        <v>5</v>
      </c>
      <c r="N30" s="160">
        <f>IF(M30="","",VLOOKUP(M30,Rubric!$A$44:$B$47,2,TRUE()))</f>
        <v/>
      </c>
      <c r="O30" s="150" t="inlineStr">
        <is>
          <t>Some – 1–2 recurring complaints</t>
        </is>
      </c>
      <c r="P30" s="160">
        <f>IF(O30="","",VLOOKUP(O30,Rubric!$A$75:$B$77,2,FALSE()))</f>
        <v/>
      </c>
      <c r="Q30" s="154" t="n">
        <v>38</v>
      </c>
      <c r="R30" s="162">
        <f>IF(Q30="","",Q30/Rubric!$B$7)</f>
        <v/>
      </c>
      <c r="S30" s="160">
        <f>IF(R30="","",VLOOKUP(R30,Rubric!$A$51:$B$53,2,TRUE()))</f>
        <v/>
      </c>
      <c r="T30" s="161">
        <f>IF(COUNT(N30,P30,S30)=0,"",SUM(N30,P30,S30))</f>
        <v/>
      </c>
      <c r="U30" s="156" t="n">
        <v>2.7</v>
      </c>
      <c r="V30" s="160">
        <f>IF(U30="","",VLOOKUP(MAX(U30,0),Rubric!$A$57:$B$59,2,TRUE()))</f>
        <v/>
      </c>
      <c r="W30" s="156" t="n"/>
      <c r="X30" s="157" t="n"/>
      <c r="Y30" s="163">
        <f>IF(OR(W30="",X30=""),"",IF(AND(W30&gt;=Rubric!$B$8,W30&lt;=Rubric!$B$9),IF(Rubric!$B$13=1,(W30-X30*Rubric!$B$12)*Rubric!$B$10,W30*Rubric!$B$10-X30*Rubric!$B$12),W30*Rubric!$B$11))</f>
        <v/>
      </c>
      <c r="Z30" s="160">
        <f>IF($B30="","",IF(AND(W30="",X30=""),7,IF(OR(W30="",X30=""),"",IF(X30&gt;Rubric!$B$17,0,IF(AND(Y30&gt;Rubric!$B$14,X30&lt;Rubric!$B$15),7,IF(Y30&gt;Rubric!$B$16,4,0))))))</f>
        <v/>
      </c>
      <c r="AA30" s="150" t="inlineStr">
        <is>
          <t>Low – utility log or workbook, &lt;2%</t>
        </is>
      </c>
      <c r="AB30" s="160">
        <f>IF(AA30="","",VLOOKUP(AA30,Rubric!$A$81:$B$83,2,FALSE()))</f>
        <v/>
      </c>
      <c r="AC30" s="161">
        <f>IF(COUNT(V30,Z30,AB30)=0,"",SUM(V30,Z30,AB30))</f>
        <v/>
      </c>
      <c r="AD30" s="150" t="inlineStr">
        <is>
          <t>Full – templatable with the Python generator</t>
        </is>
      </c>
      <c r="AE30" s="160">
        <f>IF(AD30="","",VLOOKUP(AD30,Rubric!$A$87:$B$89,2,FALSE()))</f>
        <v/>
      </c>
      <c r="AF30" s="150" t="inlineStr">
        <is>
          <t>Low – logs and forms, little fact-checking</t>
        </is>
      </c>
      <c r="AG30" s="160">
        <f>IF(AF30="","",VLOOKUP(AF30,Rubric!$A$93:$C$96,2,FALSE()))</f>
        <v/>
      </c>
      <c r="AH30" s="161">
        <f>IF(COUNT(AE30,AG30)=0,"",SUM(AE30,AG30))</f>
        <v/>
      </c>
      <c r="AI30" s="150" t="inlineStr">
        <is>
          <t>2–3 cluster titles</t>
        </is>
      </c>
      <c r="AJ30" s="160">
        <f>IF(AI30="","",VLOOKUP(AI30,Rubric!$A$100:$B$102,2,FALSE()))</f>
        <v/>
      </c>
      <c r="AK30" s="150" t="inlineStr">
        <is>
          <t>1 channel focus</t>
        </is>
      </c>
      <c r="AL30" s="160">
        <f>IF(AK30="","",VLOOKUP(AK30,Rubric!$A$106:$B$108,2,FALSE()))</f>
        <v/>
      </c>
      <c r="AM30" s="161">
        <f>IF(COUNT(AJ30,AL30)=0,"",SUM(AJ30,AL30))</f>
        <v/>
      </c>
      <c r="AN30" s="164">
        <f>IF($B30="","",SUM(L30,T30,AC30,AH30,AM30))</f>
        <v/>
      </c>
      <c r="AO30" s="150" t="n"/>
      <c r="AP30" s="150" t="n"/>
      <c r="AQ30" s="150" t="n"/>
      <c r="AR30" s="160">
        <f>IF(OR(W30="",X30=""),"",IF(OR(X30&gt;Rubric!$B$19,Y30&lt;Rubric!$B$18),"VETO",""))</f>
        <v/>
      </c>
      <c r="AS30" s="160">
        <f>IF(AF30="","",IF(VLOOKUP(AF30,Rubric!$A$93:$C$96,3,FALSE())="Yes","VETO",""))</f>
        <v/>
      </c>
      <c r="AT30" s="160">
        <f>IF($B30="","",IF(OR(AO30="Yes",AP30="Yes",AQ30="Yes",AR30="VETO",AS30="VETO"),"VETO",""))</f>
        <v/>
      </c>
      <c r="AU30" s="160">
        <f>IF($B30="","",12-COUNTA(F30,H30,J30,M30,O30,Q30,U30,AA30,AD30,AF30,AI30,AK30)+IF(AND(OR(W30="",X30=""),NOT(AND(W30="",X30=""))),1,0))</f>
        <v/>
      </c>
      <c r="AV30" s="165">
        <f>IF($B30="","",IF(AT30="VETO","Rejected – veto",IF(AU30&gt;0,"Incomplete ("&amp;AU30&amp;" missing)",IF(AN30&gt;=Rubric!$B$5,"Tier 1 – Approved",IF(AN30&gt;=Rubric!$B$6,"Tier 2 – Watchlist","Tier 3 – Rejected")))))</f>
        <v/>
      </c>
      <c r="AW30" s="160">
        <f>IF(OR($B30="",AT30="VETO"),"",IF(AU30&gt;0,"",1+SUMPRODUCT(($B$6:$B$60&lt;&gt;"")*($AT$6:$AT$60&lt;&gt;"VETO")*($AU$6:$AU$60=0)*($AN$6:$AN$60&gt;AN30))))</f>
        <v/>
      </c>
      <c r="AX30" s="150" t="n"/>
      <c r="AY30" s="150" t="inlineStr">
        <is>
          <t>BSR top3 ~665000, reviews top10 ~5, generic 38/48. Intent Medium – topic with some buying signal, freshness Partial – new entrant but weak signals, defect Some – 1–2 recurring complaints. Based on Amazon search sampling Oct 2026, subagent research, and category benchmarks.</t>
        </is>
      </c>
      <c r="AZ30" s="150" t="inlineStr">
        <is>
          <t>Amazon.com search Oct 7 2026; subagent BSR sampling; category BSR proxies; policy: KDP low-content guidelines.</t>
        </is>
      </c>
    </row>
    <row r="31" ht="30" customHeight="1" s="198">
      <c r="A31" s="160">
        <f>IF($B31="","",ROW()-5)</f>
        <v/>
      </c>
      <c r="B31" s="150" t="inlineStr">
        <is>
          <t>Multiplication &amp; Division Fluency Workbook (Grades 3–4)</t>
        </is>
      </c>
      <c r="C31" s="150" t="inlineStr">
        <is>
          <t>Elementary math practice</t>
        </is>
      </c>
      <c r="D31" s="150" t="inlineStr">
        <is>
          <t>Medium-content</t>
        </is>
      </c>
      <c r="E31" s="151" t="n">
        <v>46302</v>
      </c>
      <c r="F31" s="152" t="n">
        <v>300000</v>
      </c>
      <c r="G31" s="160">
        <f>IF(F31="","",VLOOKUP(F31,Rubric!$A$37:$B$40,2,TRUE()))</f>
        <v/>
      </c>
      <c r="H31" s="150" t="inlineStr">
        <is>
          <t>High – specific problem + buying word</t>
        </is>
      </c>
      <c r="I31" s="160">
        <f>IF(H31="","",VLOOKUP(H31,Rubric!$A$63:$B$65,2,FALSE()))</f>
        <v/>
      </c>
      <c r="J31" s="150" t="inlineStr">
        <is>
          <t>Partial – new entrant but weak signals</t>
        </is>
      </c>
      <c r="K31" s="160">
        <f>IF(J31="","",VLOOKUP(J31,Rubric!$A$69:$B$71,2,FALSE()))</f>
        <v/>
      </c>
      <c r="L31" s="161">
        <f>IF(COUNT(G31,I31,K31)=0,"",SUM(G31,I31,K31))</f>
        <v/>
      </c>
      <c r="M31" s="152" t="n">
        <v>280</v>
      </c>
      <c r="N31" s="160">
        <f>IF(M31="","",VLOOKUP(M31,Rubric!$A$44:$B$47,2,TRUE()))</f>
        <v/>
      </c>
      <c r="O31" s="150" t="inlineStr">
        <is>
          <t>Strong – 3+ recurring complaints (missing features, no answer key)</t>
        </is>
      </c>
      <c r="P31" s="160">
        <f>IF(O31="","",VLOOKUP(O31,Rubric!$A$75:$B$77,2,FALSE()))</f>
        <v/>
      </c>
      <c r="Q31" s="154" t="n">
        <v>20</v>
      </c>
      <c r="R31" s="162">
        <f>IF(Q31="","",Q31/Rubric!$B$7)</f>
        <v/>
      </c>
      <c r="S31" s="160">
        <f>IF(R31="","",VLOOKUP(R31,Rubric!$A$51:$B$53,2,TRUE()))</f>
        <v/>
      </c>
      <c r="T31" s="161">
        <f>IF(COUNT(N31,P31,S31)=0,"",SUM(N31,P31,S31))</f>
        <v/>
      </c>
      <c r="U31" s="156" t="n">
        <v>3.1</v>
      </c>
      <c r="V31" s="160">
        <f>IF(U31="","",VLOOKUP(MAX(U31,0),Rubric!$A$57:$B$59,2,TRUE()))</f>
        <v/>
      </c>
      <c r="W31" s="156" t="n"/>
      <c r="X31" s="157" t="n"/>
      <c r="Y31" s="163">
        <f>IF(OR(W31="",X31=""),"",IF(AND(W31&gt;=Rubric!$B$8,W31&lt;=Rubric!$B$9),IF(Rubric!$B$13=1,(W31-X31*Rubric!$B$12)*Rubric!$B$10,W31*Rubric!$B$10-X31*Rubric!$B$12),W31*Rubric!$B$11))</f>
        <v/>
      </c>
      <c r="Z31" s="160">
        <f>IF($B31="","",IF(AND(W31="",X31=""),7,IF(OR(W31="",X31=""),"",IF(X31&gt;Rubric!$B$17,0,IF(AND(Y31&gt;Rubric!$B$14,X31&lt;Rubric!$B$15),7,IF(Y31&gt;Rubric!$B$16,4,0))))))</f>
        <v/>
      </c>
      <c r="AA31" s="150" t="inlineStr">
        <is>
          <t>Low – utility log or workbook, &lt;2%</t>
        </is>
      </c>
      <c r="AB31" s="160">
        <f>IF(AA31="","",VLOOKUP(AA31,Rubric!$A$81:$B$83,2,FALSE()))</f>
        <v/>
      </c>
      <c r="AC31" s="161">
        <f>IF(COUNT(V31,Z31,AB31)=0,"",SUM(V31,Z31,AB31))</f>
        <v/>
      </c>
      <c r="AD31" s="150" t="inlineStr">
        <is>
          <t>Partial – needs Book Studio or manual content</t>
        </is>
      </c>
      <c r="AE31" s="160">
        <f>IF(AD31="","",VLOOKUP(AD31,Rubric!$A$87:$B$89,2,FALSE()))</f>
        <v/>
      </c>
      <c r="AF31" s="150" t="inlineStr">
        <is>
          <t>Medium – how-to / educational accuracy</t>
        </is>
      </c>
      <c r="AG31" s="160">
        <f>IF(AF31="","",VLOOKUP(AF31,Rubric!$A$93:$C$96,2,FALSE()))</f>
        <v/>
      </c>
      <c r="AH31" s="161">
        <f>IF(COUNT(AE31,AG31)=0,"",SUM(AE31,AG31))</f>
        <v/>
      </c>
      <c r="AI31" s="150" t="inlineStr">
        <is>
          <t>3–4 cluster titles</t>
        </is>
      </c>
      <c r="AJ31" s="160">
        <f>IF(AI31="","",VLOOKUP(AI31,Rubric!$A$100:$B$102,2,FALSE()))</f>
        <v/>
      </c>
      <c r="AK31" s="150" t="inlineStr">
        <is>
          <t>2 channels with distinct uses</t>
        </is>
      </c>
      <c r="AL31" s="160">
        <f>IF(AK31="","",VLOOKUP(AK31,Rubric!$A$106:$B$108,2,FALSE()))</f>
        <v/>
      </c>
      <c r="AM31" s="161">
        <f>IF(COUNT(AJ31,AL31)=0,"",SUM(AJ31,AL31))</f>
        <v/>
      </c>
      <c r="AN31" s="164">
        <f>IF($B31="","",SUM(L31,T31,AC31,AH31,AM31))</f>
        <v/>
      </c>
      <c r="AO31" s="150" t="n"/>
      <c r="AP31" s="150" t="n"/>
      <c r="AQ31" s="150" t="n"/>
      <c r="AR31" s="160">
        <f>IF(OR(W31="",X31=""),"",IF(OR(X31&gt;Rubric!$B$19,Y31&lt;Rubric!$B$18),"VETO",""))</f>
        <v/>
      </c>
      <c r="AS31" s="160">
        <f>IF(AF31="","",IF(VLOOKUP(AF31,Rubric!$A$93:$C$96,3,FALSE())="Yes","VETO",""))</f>
        <v/>
      </c>
      <c r="AT31" s="160">
        <f>IF($B31="","",IF(OR(AO31="Yes",AP31="Yes",AQ31="Yes",AR31="VETO",AS31="VETO"),"VETO",""))</f>
        <v/>
      </c>
      <c r="AU31" s="160">
        <f>IF($B31="","",12-COUNTA(F31,H31,J31,M31,O31,Q31,U31,AA31,AD31,AF31,AI31,AK31)+IF(AND(OR(W31="",X31=""),NOT(AND(W31="",X31=""))),1,0))</f>
        <v/>
      </c>
      <c r="AV31" s="165">
        <f>IF($B31="","",IF(AT31="VETO","Rejected – veto",IF(AU31&gt;0,"Incomplete ("&amp;AU31&amp;" missing)",IF(AN31&gt;=Rubric!$B$5,"Tier 1 – Approved",IF(AN31&gt;=Rubric!$B$6,"Tier 2 – Watchlist","Tier 3 – Rejected")))))</f>
        <v/>
      </c>
      <c r="AW31" s="160">
        <f>IF(OR($B31="",AT31="VETO"),"",IF(AU31&gt;0,"",1+SUMPRODUCT(($B$6:$B$60&lt;&gt;"")*($AT$6:$AT$60&lt;&gt;"VETO")*($AU$6:$AU$60=0)*($AN$6:$AN$60&gt;AN31))))</f>
        <v/>
      </c>
      <c r="AX31" s="150" t="n"/>
      <c r="AY31" s="150" t="inlineStr">
        <is>
          <t>BSR top3 ~300000, reviews top10 ~280, generic 20/48. Intent High – specific problem + buying word, freshness Partial – new entrant but weak signals, defect Strong – 3+ recurring complaints (missing features, no answer key). Based on Amazon search sampling Oct 2026, subagent research, and category benchmarks.</t>
        </is>
      </c>
      <c r="AZ31" s="150" t="inlineStr">
        <is>
          <t>Amazon.com search Oct 7 2026; subagent BSR sampling; category BSR proxies; policy: KDP low-content guidelines.</t>
        </is>
      </c>
    </row>
    <row r="32" ht="30" customHeight="1" s="198">
      <c r="A32" s="160">
        <f>IF($B32="","",ROW()-5)</f>
        <v/>
      </c>
      <c r="B32" s="150" t="inlineStr">
        <is>
          <t>Multi-Step Math Word Problems (Grades 4–5)</t>
        </is>
      </c>
      <c r="C32" s="150" t="inlineStr">
        <is>
          <t>Elementary math practice</t>
        </is>
      </c>
      <c r="D32" s="150" t="inlineStr">
        <is>
          <t>Medium-content</t>
        </is>
      </c>
      <c r="E32" s="151" t="n">
        <v>46302</v>
      </c>
      <c r="F32" s="152" t="n">
        <v>250000</v>
      </c>
      <c r="G32" s="160">
        <f>IF(F32="","",VLOOKUP(F32,Rubric!$A$37:$B$40,2,TRUE()))</f>
        <v/>
      </c>
      <c r="H32" s="150" t="inlineStr">
        <is>
          <t>High – specific problem + buying word</t>
        </is>
      </c>
      <c r="I32" s="160">
        <f>IF(H32="","",VLOOKUP(H32,Rubric!$A$63:$B$65,2,FALSE()))</f>
        <v/>
      </c>
      <c r="J32" s="150" t="inlineStr">
        <is>
          <t>Partial – new entrant but weak signals</t>
        </is>
      </c>
      <c r="K32" s="160">
        <f>IF(J32="","",VLOOKUP(J32,Rubric!$A$69:$B$71,2,FALSE()))</f>
        <v/>
      </c>
      <c r="L32" s="161">
        <f>IF(COUNT(G32,I32,K32)=0,"",SUM(G32,I32,K32))</f>
        <v/>
      </c>
      <c r="M32" s="152" t="n">
        <v>300</v>
      </c>
      <c r="N32" s="160">
        <f>IF(M32="","",VLOOKUP(M32,Rubric!$A$44:$B$47,2,TRUE()))</f>
        <v/>
      </c>
      <c r="O32" s="150" t="inlineStr">
        <is>
          <t>Strong – 3+ recurring complaints (missing features, no answer key)</t>
        </is>
      </c>
      <c r="P32" s="160">
        <f>IF(O32="","",VLOOKUP(O32,Rubric!$A$75:$B$77,2,FALSE()))</f>
        <v/>
      </c>
      <c r="Q32" s="154" t="n">
        <v>18</v>
      </c>
      <c r="R32" s="162">
        <f>IF(Q32="","",Q32/Rubric!$B$7)</f>
        <v/>
      </c>
      <c r="S32" s="160">
        <f>IF(R32="","",VLOOKUP(R32,Rubric!$A$51:$B$53,2,TRUE()))</f>
        <v/>
      </c>
      <c r="T32" s="161">
        <f>IF(COUNT(N32,P32,S32)=0,"",SUM(N32,P32,S32))</f>
        <v/>
      </c>
      <c r="U32" s="156" t="n">
        <v>3.2</v>
      </c>
      <c r="V32" s="160">
        <f>IF(U32="","",VLOOKUP(MAX(U32,0),Rubric!$A$57:$B$59,2,TRUE()))</f>
        <v/>
      </c>
      <c r="W32" s="156" t="n"/>
      <c r="X32" s="157" t="n"/>
      <c r="Y32" s="163">
        <f>IF(OR(W32="",X32=""),"",IF(AND(W32&gt;=Rubric!$B$8,W32&lt;=Rubric!$B$9),IF(Rubric!$B$13=1,(W32-X32*Rubric!$B$12)*Rubric!$B$10,W32*Rubric!$B$10-X32*Rubric!$B$12),W32*Rubric!$B$11))</f>
        <v/>
      </c>
      <c r="Z32" s="160">
        <f>IF($B32="","",IF(AND(W32="",X32=""),7,IF(OR(W32="",X32=""),"",IF(X32&gt;Rubric!$B$17,0,IF(AND(Y32&gt;Rubric!$B$14,X32&lt;Rubric!$B$15),7,IF(Y32&gt;Rubric!$B$16,4,0))))))</f>
        <v/>
      </c>
      <c r="AA32" s="150" t="inlineStr">
        <is>
          <t>Low – utility log or workbook, &lt;2%</t>
        </is>
      </c>
      <c r="AB32" s="160">
        <f>IF(AA32="","",VLOOKUP(AA32,Rubric!$A$81:$B$83,2,FALSE()))</f>
        <v/>
      </c>
      <c r="AC32" s="161">
        <f>IF(COUNT(V32,Z32,AB32)=0,"",SUM(V32,Z32,AB32))</f>
        <v/>
      </c>
      <c r="AD32" s="150" t="inlineStr">
        <is>
          <t>Partial – needs Book Studio or manual content</t>
        </is>
      </c>
      <c r="AE32" s="160">
        <f>IF(AD32="","",VLOOKUP(AD32,Rubric!$A$87:$B$89,2,FALSE()))</f>
        <v/>
      </c>
      <c r="AF32" s="150" t="inlineStr">
        <is>
          <t>Medium – how-to / educational accuracy</t>
        </is>
      </c>
      <c r="AG32" s="160">
        <f>IF(AF32="","",VLOOKUP(AF32,Rubric!$A$93:$C$96,2,FALSE()))</f>
        <v/>
      </c>
      <c r="AH32" s="161">
        <f>IF(COUNT(AE32,AG32)=0,"",SUM(AE32,AG32))</f>
        <v/>
      </c>
      <c r="AI32" s="150" t="inlineStr">
        <is>
          <t>3–4 cluster titles</t>
        </is>
      </c>
      <c r="AJ32" s="160">
        <f>IF(AI32="","",VLOOKUP(AI32,Rubric!$A$100:$B$102,2,FALSE()))</f>
        <v/>
      </c>
      <c r="AK32" s="150" t="inlineStr">
        <is>
          <t>2 channels with distinct uses</t>
        </is>
      </c>
      <c r="AL32" s="160">
        <f>IF(AK32="","",VLOOKUP(AK32,Rubric!$A$106:$B$108,2,FALSE()))</f>
        <v/>
      </c>
      <c r="AM32" s="161">
        <f>IF(COUNT(AJ32,AL32)=0,"",SUM(AJ32,AL32))</f>
        <v/>
      </c>
      <c r="AN32" s="164">
        <f>IF($B32="","",SUM(L32,T32,AC32,AH32,AM32))</f>
        <v/>
      </c>
      <c r="AO32" s="150" t="n"/>
      <c r="AP32" s="150" t="n"/>
      <c r="AQ32" s="150" t="n"/>
      <c r="AR32" s="160">
        <f>IF(OR(W32="",X32=""),"",IF(OR(X32&gt;Rubric!$B$19,Y32&lt;Rubric!$B$18),"VETO",""))</f>
        <v/>
      </c>
      <c r="AS32" s="160">
        <f>IF(AF32="","",IF(VLOOKUP(AF32,Rubric!$A$93:$C$96,3,FALSE())="Yes","VETO",""))</f>
        <v/>
      </c>
      <c r="AT32" s="160">
        <f>IF($B32="","",IF(OR(AO32="Yes",AP32="Yes",AQ32="Yes",AR32="VETO",AS32="VETO"),"VETO",""))</f>
        <v/>
      </c>
      <c r="AU32" s="160">
        <f>IF($B32="","",12-COUNTA(F32,H32,J32,M32,O32,Q32,U32,AA32,AD32,AF32,AI32,AK32)+IF(AND(OR(W32="",X32=""),NOT(AND(W32="",X32=""))),1,0))</f>
        <v/>
      </c>
      <c r="AV32" s="165">
        <f>IF($B32="","",IF(AT32="VETO","Rejected – veto",IF(AU32&gt;0,"Incomplete ("&amp;AU32&amp;" missing)",IF(AN32&gt;=Rubric!$B$5,"Tier 1 – Approved",IF(AN32&gt;=Rubric!$B$6,"Tier 2 – Watchlist","Tier 3 – Rejected")))))</f>
        <v/>
      </c>
      <c r="AW32" s="160">
        <f>IF(OR($B32="",AT32="VETO"),"",IF(AU32&gt;0,"",1+SUMPRODUCT(($B$6:$B$60&lt;&gt;"")*($AT$6:$AT$60&lt;&gt;"VETO")*($AU$6:$AU$60=0)*($AN$6:$AN$60&gt;AN32))))</f>
        <v/>
      </c>
      <c r="AX32" s="150" t="n"/>
      <c r="AY32" s="150" t="inlineStr">
        <is>
          <t>BSR top3 ~250000, reviews top10 ~300, generic 18/48. Intent High – specific problem + buying word, freshness Partial – new entrant but weak signals, defect Strong – 3+ recurring complaints (missing features, no answer key). Based on Amazon search sampling Oct 2026, subagent research, and category benchmarks.</t>
        </is>
      </c>
      <c r="AZ32" s="150" t="inlineStr">
        <is>
          <t>Amazon.com search Oct 7 2026; subagent BSR sampling; category BSR proxies; policy: KDP low-content guidelines.</t>
        </is>
      </c>
    </row>
    <row r="33" ht="30" customHeight="1" s="198">
      <c r="A33" s="160">
        <f>IF($B33="","",ROW()-5)</f>
        <v/>
      </c>
      <c r="B33" s="150" t="inlineStr">
        <is>
          <t>Reading Comprehension Workbook with Original Short Passages (Grades 4–5)</t>
        </is>
      </c>
      <c r="C33" s="150" t="inlineStr">
        <is>
          <t>Reading comprehension / literacy</t>
        </is>
      </c>
      <c r="D33" s="150" t="inlineStr">
        <is>
          <t>Medium-content</t>
        </is>
      </c>
      <c r="E33" s="151" t="n">
        <v>46302</v>
      </c>
      <c r="F33" s="152" t="n">
        <v>400000</v>
      </c>
      <c r="G33" s="160">
        <f>IF(F33="","",VLOOKUP(F33,Rubric!$A$37:$B$40,2,TRUE()))</f>
        <v/>
      </c>
      <c r="H33" s="150" t="inlineStr">
        <is>
          <t>High – specific problem + buying word</t>
        </is>
      </c>
      <c r="I33" s="160">
        <f>IF(H33="","",VLOOKUP(H33,Rubric!$A$63:$B$65,2,FALSE()))</f>
        <v/>
      </c>
      <c r="J33" s="150" t="inlineStr">
        <is>
          <t>No – no recent entrants</t>
        </is>
      </c>
      <c r="K33" s="160">
        <f>IF(J33="","",VLOOKUP(J33,Rubric!$A$69:$B$71,2,FALSE()))</f>
        <v/>
      </c>
      <c r="L33" s="161">
        <f>IF(COUNT(G33,I33,K33)=0,"",SUM(G33,I33,K33))</f>
        <v/>
      </c>
      <c r="M33" s="152" t="n">
        <v>150</v>
      </c>
      <c r="N33" s="160">
        <f>IF(M33="","",VLOOKUP(M33,Rubric!$A$44:$B$47,2,TRUE()))</f>
        <v/>
      </c>
      <c r="O33" s="150" t="inlineStr">
        <is>
          <t>Strong – 3+ recurring complaints (missing features, no answer key)</t>
        </is>
      </c>
      <c r="P33" s="160">
        <f>IF(O33="","",VLOOKUP(O33,Rubric!$A$75:$B$77,2,FALSE()))</f>
        <v/>
      </c>
      <c r="Q33" s="154" t="n">
        <v>22</v>
      </c>
      <c r="R33" s="162">
        <f>IF(Q33="","",Q33/Rubric!$B$7)</f>
        <v/>
      </c>
      <c r="S33" s="160">
        <f>IF(R33="","",VLOOKUP(R33,Rubric!$A$51:$B$53,2,TRUE()))</f>
        <v/>
      </c>
      <c r="T33" s="161">
        <f>IF(COUNT(N33,P33,S33)=0,"",SUM(N33,P33,S33))</f>
        <v/>
      </c>
      <c r="U33" s="156" t="n">
        <v>3</v>
      </c>
      <c r="V33" s="160">
        <f>IF(U33="","",VLOOKUP(MAX(U33,0),Rubric!$A$57:$B$59,2,TRUE()))</f>
        <v/>
      </c>
      <c r="W33" s="156" t="n"/>
      <c r="X33" s="157" t="n"/>
      <c r="Y33" s="163">
        <f>IF(OR(W33="",X33=""),"",IF(AND(W33&gt;=Rubric!$B$8,W33&lt;=Rubric!$B$9),IF(Rubric!$B$13=1,(W33-X33*Rubric!$B$12)*Rubric!$B$10,W33*Rubric!$B$10-X33*Rubric!$B$12),W33*Rubric!$B$11))</f>
        <v/>
      </c>
      <c r="Z33" s="160">
        <f>IF($B33="","",IF(AND(W33="",X33=""),7,IF(OR(W33="",X33=""),"",IF(X33&gt;Rubric!$B$17,0,IF(AND(Y33&gt;Rubric!$B$14,X33&lt;Rubric!$B$15),7,IF(Y33&gt;Rubric!$B$16,4,0))))))</f>
        <v/>
      </c>
      <c r="AA33" s="150" t="inlineStr">
        <is>
          <t>Low – utility log or workbook, &lt;2%</t>
        </is>
      </c>
      <c r="AB33" s="160">
        <f>IF(AA33="","",VLOOKUP(AA33,Rubric!$A$81:$B$83,2,FALSE()))</f>
        <v/>
      </c>
      <c r="AC33" s="161">
        <f>IF(COUNT(V33,Z33,AB33)=0,"",SUM(V33,Z33,AB33))</f>
        <v/>
      </c>
      <c r="AD33" s="150" t="inlineStr">
        <is>
          <t>Low – custom illustration or heavy manual work</t>
        </is>
      </c>
      <c r="AE33" s="160">
        <f>IF(AD33="","",VLOOKUP(AD33,Rubric!$A$87:$B$89,2,FALSE()))</f>
        <v/>
      </c>
      <c r="AF33" s="150" t="inlineStr">
        <is>
          <t>High – research-intensive, fact-checking heavy</t>
        </is>
      </c>
      <c r="AG33" s="160">
        <f>IF(AF33="","",VLOOKUP(AF33,Rubric!$A$93:$C$96,2,FALSE()))</f>
        <v/>
      </c>
      <c r="AH33" s="161">
        <f>IF(COUNT(AE33,AG33)=0,"",SUM(AE33,AG33))</f>
        <v/>
      </c>
      <c r="AI33" s="150" t="inlineStr">
        <is>
          <t>2–3 cluster titles</t>
        </is>
      </c>
      <c r="AJ33" s="160">
        <f>IF(AI33="","",VLOOKUP(AI33,Rubric!$A$100:$B$102,2,FALSE()))</f>
        <v/>
      </c>
      <c r="AK33" s="150" t="inlineStr">
        <is>
          <t>2 channels with distinct uses</t>
        </is>
      </c>
      <c r="AL33" s="160">
        <f>IF(AK33="","",VLOOKUP(AK33,Rubric!$A$106:$B$108,2,FALSE()))</f>
        <v/>
      </c>
      <c r="AM33" s="161">
        <f>IF(COUNT(AJ33,AL33)=0,"",SUM(AJ33,AL33))</f>
        <v/>
      </c>
      <c r="AN33" s="164">
        <f>IF($B33="","",SUM(L33,T33,AC33,AH33,AM33))</f>
        <v/>
      </c>
      <c r="AO33" s="150" t="n"/>
      <c r="AP33" s="150" t="n"/>
      <c r="AQ33" s="150" t="n"/>
      <c r="AR33" s="160">
        <f>IF(OR(W33="",X33=""),"",IF(OR(X33&gt;Rubric!$B$19,Y33&lt;Rubric!$B$18),"VETO",""))</f>
        <v/>
      </c>
      <c r="AS33" s="160">
        <f>IF(AF33="","",IF(VLOOKUP(AF33,Rubric!$A$93:$C$96,3,FALSE())="Yes","VETO",""))</f>
        <v/>
      </c>
      <c r="AT33" s="160">
        <f>IF($B33="","",IF(OR(AO33="Yes",AP33="Yes",AQ33="Yes",AR33="VETO",AS33="VETO"),"VETO",""))</f>
        <v/>
      </c>
      <c r="AU33" s="160">
        <f>IF($B33="","",12-COUNTA(F33,H33,J33,M33,O33,Q33,U33,AA33,AD33,AF33,AI33,AK33)+IF(AND(OR(W33="",X33=""),NOT(AND(W33="",X33=""))),1,0))</f>
        <v/>
      </c>
      <c r="AV33" s="165">
        <f>IF($B33="","",IF(AT33="VETO","Rejected – veto",IF(AU33&gt;0,"Incomplete ("&amp;AU33&amp;" missing)",IF(AN33&gt;=Rubric!$B$5,"Tier 1 – Approved",IF(AN33&gt;=Rubric!$B$6,"Tier 2 – Watchlist","Tier 3 – Rejected")))))</f>
        <v/>
      </c>
      <c r="AW33" s="160">
        <f>IF(OR($B33="",AT33="VETO"),"",IF(AU33&gt;0,"",1+SUMPRODUCT(($B$6:$B$60&lt;&gt;"")*($AT$6:$AT$60&lt;&gt;"VETO")*($AU$6:$AU$60=0)*($AN$6:$AN$60&gt;AN33))))</f>
        <v/>
      </c>
      <c r="AX33" s="150" t="n"/>
      <c r="AY33" s="150" t="inlineStr">
        <is>
          <t>BSR top3 ~400000, reviews top10 ~150, generic 22/48. Intent High – specific problem + buying word, freshness No – no recent entrants, defect Strong – 3+ recurring complaints (missing features, no answer key). Based on Amazon search sampling Oct 2026, subagent research, and category benchmarks.</t>
        </is>
      </c>
      <c r="AZ33" s="150" t="inlineStr">
        <is>
          <t>Amazon.com search Oct 7 2026; subagent BSR sampling; category BSR proxies; policy: KDP low-content guidelines.</t>
        </is>
      </c>
    </row>
    <row r="34" ht="30" customHeight="1" s="198">
      <c r="A34" s="160">
        <f>IF($B34="","",ROW()-5)</f>
        <v/>
      </c>
      <c r="B34" s="150" t="inlineStr">
        <is>
          <t>Grammar, Punctuation &amp; Sentence Editing Workbook (Grades 5–6)</t>
        </is>
      </c>
      <c r="C34" s="150" t="inlineStr">
        <is>
          <t>Writing mechanics / literacy</t>
        </is>
      </c>
      <c r="D34" s="150" t="inlineStr">
        <is>
          <t>Medium-content</t>
        </is>
      </c>
      <c r="E34" s="151" t="n">
        <v>46302</v>
      </c>
      <c r="F34" s="152" t="n">
        <v>350000</v>
      </c>
      <c r="G34" s="160">
        <f>IF(F34="","",VLOOKUP(F34,Rubric!$A$37:$B$40,2,TRUE()))</f>
        <v/>
      </c>
      <c r="H34" s="150" t="inlineStr">
        <is>
          <t>Medium – topic with some buying signal</t>
        </is>
      </c>
      <c r="I34" s="160">
        <f>IF(H34="","",VLOOKUP(H34,Rubric!$A$63:$B$65,2,FALSE()))</f>
        <v/>
      </c>
      <c r="J34" s="150" t="inlineStr">
        <is>
          <t>No – no recent entrants</t>
        </is>
      </c>
      <c r="K34" s="160">
        <f>IF(J34="","",VLOOKUP(J34,Rubric!$A$69:$B$71,2,FALSE()))</f>
        <v/>
      </c>
      <c r="L34" s="161">
        <f>IF(COUNT(G34,I34,K34)=0,"",SUM(G34,I34,K34))</f>
        <v/>
      </c>
      <c r="M34" s="152" t="n">
        <v>120</v>
      </c>
      <c r="N34" s="160">
        <f>IF(M34="","",VLOOKUP(M34,Rubric!$A$44:$B$47,2,TRUE()))</f>
        <v/>
      </c>
      <c r="O34" s="150" t="inlineStr">
        <is>
          <t>Some – 1–2 recurring complaints</t>
        </is>
      </c>
      <c r="P34" s="160">
        <f>IF(O34="","",VLOOKUP(O34,Rubric!$A$75:$B$77,2,FALSE()))</f>
        <v/>
      </c>
      <c r="Q34" s="154" t="n">
        <v>24</v>
      </c>
      <c r="R34" s="162">
        <f>IF(Q34="","",Q34/Rubric!$B$7)</f>
        <v/>
      </c>
      <c r="S34" s="160">
        <f>IF(R34="","",VLOOKUP(R34,Rubric!$A$51:$B$53,2,TRUE()))</f>
        <v/>
      </c>
      <c r="T34" s="161">
        <f>IF(COUNT(N34,P34,S34)=0,"",SUM(N34,P34,S34))</f>
        <v/>
      </c>
      <c r="U34" s="156" t="n">
        <v>3</v>
      </c>
      <c r="V34" s="160">
        <f>IF(U34="","",VLOOKUP(MAX(U34,0),Rubric!$A$57:$B$59,2,TRUE()))</f>
        <v/>
      </c>
      <c r="W34" s="156" t="n"/>
      <c r="X34" s="157" t="n"/>
      <c r="Y34" s="163">
        <f>IF(OR(W34="",X34=""),"",IF(AND(W34&gt;=Rubric!$B$8,W34&lt;=Rubric!$B$9),IF(Rubric!$B$13=1,(W34-X34*Rubric!$B$12)*Rubric!$B$10,W34*Rubric!$B$10-X34*Rubric!$B$12),W34*Rubric!$B$11))</f>
        <v/>
      </c>
      <c r="Z34" s="160">
        <f>IF($B34="","",IF(AND(W34="",X34=""),7,IF(OR(W34="",X34=""),"",IF(X34&gt;Rubric!$B$17,0,IF(AND(Y34&gt;Rubric!$B$14,X34&lt;Rubric!$B$15),7,IF(Y34&gt;Rubric!$B$16,4,0))))))</f>
        <v/>
      </c>
      <c r="AA34" s="150" t="inlineStr">
        <is>
          <t>Low – utility log or workbook, &lt;2%</t>
        </is>
      </c>
      <c r="AB34" s="160">
        <f>IF(AA34="","",VLOOKUP(AA34,Rubric!$A$81:$B$83,2,FALSE()))</f>
        <v/>
      </c>
      <c r="AC34" s="161">
        <f>IF(COUNT(V34,Z34,AB34)=0,"",SUM(V34,Z34,AB34))</f>
        <v/>
      </c>
      <c r="AD34" s="150" t="inlineStr">
        <is>
          <t>Partial – needs Book Studio or manual content</t>
        </is>
      </c>
      <c r="AE34" s="160">
        <f>IF(AD34="","",VLOOKUP(AD34,Rubric!$A$87:$B$89,2,FALSE()))</f>
        <v/>
      </c>
      <c r="AF34" s="150" t="inlineStr">
        <is>
          <t>Medium – how-to / educational accuracy</t>
        </is>
      </c>
      <c r="AG34" s="160">
        <f>IF(AF34="","",VLOOKUP(AF34,Rubric!$A$93:$C$96,2,FALSE()))</f>
        <v/>
      </c>
      <c r="AH34" s="161">
        <f>IF(COUNT(AE34,AG34)=0,"",SUM(AE34,AG34))</f>
        <v/>
      </c>
      <c r="AI34" s="150" t="inlineStr">
        <is>
          <t>2–3 cluster titles</t>
        </is>
      </c>
      <c r="AJ34" s="160">
        <f>IF(AI34="","",VLOOKUP(AI34,Rubric!$A$100:$B$102,2,FALSE()))</f>
        <v/>
      </c>
      <c r="AK34" s="150" t="inlineStr">
        <is>
          <t>1 channel focus</t>
        </is>
      </c>
      <c r="AL34" s="160">
        <f>IF(AK34="","",VLOOKUP(AK34,Rubric!$A$106:$B$108,2,FALSE()))</f>
        <v/>
      </c>
      <c r="AM34" s="161">
        <f>IF(COUNT(AJ34,AL34)=0,"",SUM(AJ34,AL34))</f>
        <v/>
      </c>
      <c r="AN34" s="164">
        <f>IF($B34="","",SUM(L34,T34,AC34,AH34,AM34))</f>
        <v/>
      </c>
      <c r="AO34" s="150" t="n"/>
      <c r="AP34" s="150" t="n"/>
      <c r="AQ34" s="150" t="n"/>
      <c r="AR34" s="160">
        <f>IF(OR(W34="",X34=""),"",IF(OR(X34&gt;Rubric!$B$19,Y34&lt;Rubric!$B$18),"VETO",""))</f>
        <v/>
      </c>
      <c r="AS34" s="160">
        <f>IF(AF34="","",IF(VLOOKUP(AF34,Rubric!$A$93:$C$96,3,FALSE())="Yes","VETO",""))</f>
        <v/>
      </c>
      <c r="AT34" s="160">
        <f>IF($B34="","",IF(OR(AO34="Yes",AP34="Yes",AQ34="Yes",AR34="VETO",AS34="VETO"),"VETO",""))</f>
        <v/>
      </c>
      <c r="AU34" s="160">
        <f>IF($B34="","",12-COUNTA(F34,H34,J34,M34,O34,Q34,U34,AA34,AD34,AF34,AI34,AK34)+IF(AND(OR(W34="",X34=""),NOT(AND(W34="",X34=""))),1,0))</f>
        <v/>
      </c>
      <c r="AV34" s="165">
        <f>IF($B34="","",IF(AT34="VETO","Rejected – veto",IF(AU34&gt;0,"Incomplete ("&amp;AU34&amp;" missing)",IF(AN34&gt;=Rubric!$B$5,"Tier 1 – Approved",IF(AN34&gt;=Rubric!$B$6,"Tier 2 – Watchlist","Tier 3 – Rejected")))))</f>
        <v/>
      </c>
      <c r="AW34" s="160">
        <f>IF(OR($B34="",AT34="VETO"),"",IF(AU34&gt;0,"",1+SUMPRODUCT(($B$6:$B$60&lt;&gt;"")*($AT$6:$AT$60&lt;&gt;"VETO")*($AU$6:$AU$60=0)*($AN$6:$AN$60&gt;AN34))))</f>
        <v/>
      </c>
      <c r="AX34" s="150" t="n"/>
      <c r="AY34" s="150" t="inlineStr">
        <is>
          <t>BSR top3 ~350000, reviews top10 ~120, generic 24/48. Intent Medium – topic with some buying signal, freshness No – no recent entrants, defect Some – 1–2 recurring complaints. Based on Amazon search sampling Oct 2026, subagent research, and category benchmarks.</t>
        </is>
      </c>
      <c r="AZ34" s="150" t="inlineStr">
        <is>
          <t>Amazon.com search Oct 7 2026; subagent BSR sampling; category BSR proxies; policy: KDP low-content guidelines.</t>
        </is>
      </c>
    </row>
    <row r="35" ht="30" customHeight="1" s="198">
      <c r="A35" s="160">
        <f>IF($B35="","",ROW()-5)</f>
        <v/>
      </c>
      <c r="B35" s="150" t="inlineStr">
        <is>
          <t>Geography Map Skills &amp; Spatial Thinking Workbook (Grades 4–6)</t>
        </is>
      </c>
      <c r="C35" s="150" t="inlineStr">
        <is>
          <t>Geography / social studies</t>
        </is>
      </c>
      <c r="D35" s="150" t="inlineStr">
        <is>
          <t>Medium-content</t>
        </is>
      </c>
      <c r="E35" s="151" t="n">
        <v>46302</v>
      </c>
      <c r="F35" s="152" t="n">
        <v>500000</v>
      </c>
      <c r="G35" s="160">
        <f>IF(F35="","",VLOOKUP(F35,Rubric!$A$37:$B$40,2,TRUE()))</f>
        <v/>
      </c>
      <c r="H35" s="150" t="inlineStr">
        <is>
          <t>Medium – topic with some buying signal</t>
        </is>
      </c>
      <c r="I35" s="160">
        <f>IF(H35="","",VLOOKUP(H35,Rubric!$A$63:$B$65,2,FALSE()))</f>
        <v/>
      </c>
      <c r="J35" s="150" t="inlineStr">
        <is>
          <t>No – no recent entrants</t>
        </is>
      </c>
      <c r="K35" s="160">
        <f>IF(J35="","",VLOOKUP(J35,Rubric!$A$69:$B$71,2,FALSE()))</f>
        <v/>
      </c>
      <c r="L35" s="161">
        <f>IF(COUNT(G35,I35,K35)=0,"",SUM(G35,I35,K35))</f>
        <v/>
      </c>
      <c r="M35" s="152" t="n">
        <v>80</v>
      </c>
      <c r="N35" s="160">
        <f>IF(M35="","",VLOOKUP(M35,Rubric!$A$44:$B$47,2,TRUE()))</f>
        <v/>
      </c>
      <c r="O35" s="150" t="inlineStr">
        <is>
          <t>Some – 1–2 recurring complaints</t>
        </is>
      </c>
      <c r="P35" s="160">
        <f>IF(O35="","",VLOOKUP(O35,Rubric!$A$75:$B$77,2,FALSE()))</f>
        <v/>
      </c>
      <c r="Q35" s="154" t="n">
        <v>26</v>
      </c>
      <c r="R35" s="162">
        <f>IF(Q35="","",Q35/Rubric!$B$7)</f>
        <v/>
      </c>
      <c r="S35" s="160">
        <f>IF(R35="","",VLOOKUP(R35,Rubric!$A$51:$B$53,2,TRUE()))</f>
        <v/>
      </c>
      <c r="T35" s="161">
        <f>IF(COUNT(N35,P35,S35)=0,"",SUM(N35,P35,S35))</f>
        <v/>
      </c>
      <c r="U35" s="156" t="n">
        <v>3.1</v>
      </c>
      <c r="V35" s="160">
        <f>IF(U35="","",VLOOKUP(MAX(U35,0),Rubric!$A$57:$B$59,2,TRUE()))</f>
        <v/>
      </c>
      <c r="W35" s="156" t="n"/>
      <c r="X35" s="157" t="n"/>
      <c r="Y35" s="163">
        <f>IF(OR(W35="",X35=""),"",IF(AND(W35&gt;=Rubric!$B$8,W35&lt;=Rubric!$B$9),IF(Rubric!$B$13=1,(W35-X35*Rubric!$B$12)*Rubric!$B$10,W35*Rubric!$B$10-X35*Rubric!$B$12),W35*Rubric!$B$11))</f>
        <v/>
      </c>
      <c r="Z35" s="160">
        <f>IF($B35="","",IF(AND(W35="",X35=""),7,IF(OR(W35="",X35=""),"",IF(X35&gt;Rubric!$B$17,0,IF(AND(Y35&gt;Rubric!$B$14,X35&lt;Rubric!$B$15),7,IF(Y35&gt;Rubric!$B$16,4,0))))))</f>
        <v/>
      </c>
      <c r="AA35" s="150" t="inlineStr">
        <is>
          <t>Low – utility log or workbook, &lt;2%</t>
        </is>
      </c>
      <c r="AB35" s="160">
        <f>IF(AA35="","",VLOOKUP(AA35,Rubric!$A$81:$B$83,2,FALSE()))</f>
        <v/>
      </c>
      <c r="AC35" s="161">
        <f>IF(COUNT(V35,Z35,AB35)=0,"",SUM(V35,Z35,AB35))</f>
        <v/>
      </c>
      <c r="AD35" s="150" t="inlineStr">
        <is>
          <t>Low – custom illustration or heavy manual work</t>
        </is>
      </c>
      <c r="AE35" s="160">
        <f>IF(AD35="","",VLOOKUP(AD35,Rubric!$A$87:$B$89,2,FALSE()))</f>
        <v/>
      </c>
      <c r="AF35" s="150" t="inlineStr">
        <is>
          <t>Medium – how-to / educational accuracy</t>
        </is>
      </c>
      <c r="AG35" s="160">
        <f>IF(AF35="","",VLOOKUP(AF35,Rubric!$A$93:$C$96,2,FALSE()))</f>
        <v/>
      </c>
      <c r="AH35" s="161">
        <f>IF(COUNT(AE35,AG35)=0,"",SUM(AE35,AG35))</f>
        <v/>
      </c>
      <c r="AI35" s="150" t="inlineStr">
        <is>
          <t>2–3 cluster titles</t>
        </is>
      </c>
      <c r="AJ35" s="160">
        <f>IF(AI35="","",VLOOKUP(AI35,Rubric!$A$100:$B$102,2,FALSE()))</f>
        <v/>
      </c>
      <c r="AK35" s="150" t="inlineStr">
        <is>
          <t>2 channels with distinct uses</t>
        </is>
      </c>
      <c r="AL35" s="160">
        <f>IF(AK35="","",VLOOKUP(AK35,Rubric!$A$106:$B$108,2,FALSE()))</f>
        <v/>
      </c>
      <c r="AM35" s="161">
        <f>IF(COUNT(AJ35,AL35)=0,"",SUM(AJ35,AL35))</f>
        <v/>
      </c>
      <c r="AN35" s="164">
        <f>IF($B35="","",SUM(L35,T35,AC35,AH35,AM35))</f>
        <v/>
      </c>
      <c r="AO35" s="150" t="n"/>
      <c r="AP35" s="150" t="n"/>
      <c r="AQ35" s="150" t="n"/>
      <c r="AR35" s="160">
        <f>IF(OR(W35="",X35=""),"",IF(OR(X35&gt;Rubric!$B$19,Y35&lt;Rubric!$B$18),"VETO",""))</f>
        <v/>
      </c>
      <c r="AS35" s="160">
        <f>IF(AF35="","",IF(VLOOKUP(AF35,Rubric!$A$93:$C$96,3,FALSE())="Yes","VETO",""))</f>
        <v/>
      </c>
      <c r="AT35" s="160">
        <f>IF($B35="","",IF(OR(AO35="Yes",AP35="Yes",AQ35="Yes",AR35="VETO",AS35="VETO"),"VETO",""))</f>
        <v/>
      </c>
      <c r="AU35" s="160">
        <f>IF($B35="","",12-COUNTA(F35,H35,J35,M35,O35,Q35,U35,AA35,AD35,AF35,AI35,AK35)+IF(AND(OR(W35="",X35=""),NOT(AND(W35="",X35=""))),1,0))</f>
        <v/>
      </c>
      <c r="AV35" s="165">
        <f>IF($B35="","",IF(AT35="VETO","Rejected – veto",IF(AU35&gt;0,"Incomplete ("&amp;AU35&amp;" missing)",IF(AN35&gt;=Rubric!$B$5,"Tier 1 – Approved",IF(AN35&gt;=Rubric!$B$6,"Tier 2 – Watchlist","Tier 3 – Rejected")))))</f>
        <v/>
      </c>
      <c r="AW35" s="160">
        <f>IF(OR($B35="",AT35="VETO"),"",IF(AU35&gt;0,"",1+SUMPRODUCT(($B$6:$B$60&lt;&gt;"")*($AT$6:$AT$60&lt;&gt;"VETO")*($AU$6:$AU$60=0)*($AN$6:$AN$60&gt;AN35))))</f>
        <v/>
      </c>
      <c r="AX35" s="150" t="n"/>
      <c r="AY35" s="150" t="inlineStr">
        <is>
          <t>BSR top3 ~500000, reviews top10 ~80, generic 26/48. Intent Medium – topic with some buying signal, freshness No – no recent entrants, defect Some – 1–2 recurring complaints. Based on Amazon search sampling Oct 2026, subagent research, and category benchmarks.</t>
        </is>
      </c>
      <c r="AZ35" s="150" t="inlineStr">
        <is>
          <t>Amazon.com search Oct 7 2026; subagent BSR sampling; category BSR proxies; policy: KDP low-content guidelines.</t>
        </is>
      </c>
    </row>
    <row r="36">
      <c r="A36" s="133">
        <f>IF($B36="","",ROW()-5)</f>
        <v/>
      </c>
      <c r="B36" s="133" t="inlineStr">
        <is>
          <t>Beginner Spanish for Travelers Practice Workbook</t>
        </is>
      </c>
      <c r="C36" s="133" t="inlineStr">
        <is>
          <t>Language learning / travel Spanish</t>
        </is>
      </c>
      <c r="D36" s="133" t="inlineStr">
        <is>
          <t>Medium-content</t>
        </is>
      </c>
      <c r="E36" s="227" t="n">
        <v>46302</v>
      </c>
      <c r="F36" s="133" t="n">
        <v>600000</v>
      </c>
      <c r="G36" s="133">
        <f>IF(F36="","",VLOOKUP(F36,Rubric!$A$37:$B$40,2,TRUE()))</f>
        <v/>
      </c>
      <c r="H36" s="133" t="inlineStr">
        <is>
          <t>Medium – topic with some buying signal</t>
        </is>
      </c>
      <c r="I36" s="133">
        <f>IF(H36="","",VLOOKUP(H36,Rubric!$A$63:$B$65,2,FALSE()))</f>
        <v/>
      </c>
      <c r="J36" s="133" t="inlineStr">
        <is>
          <t>Partial – new entrant but weak signals</t>
        </is>
      </c>
      <c r="K36" s="133">
        <f>IF(J36="","",VLOOKUP(J36,Rubric!$A$69:$B$71,2,FALSE()))</f>
        <v/>
      </c>
      <c r="L36" s="133">
        <f>IF(COUNT(G36,I36,K36)=0,"",SUM(G36,I36,K36))</f>
        <v/>
      </c>
      <c r="M36" s="133" t="n">
        <v>60</v>
      </c>
      <c r="N36" s="133">
        <f>IF(M36="","",VLOOKUP(M36,Rubric!$A$44:$B$47,2,TRUE()))</f>
        <v/>
      </c>
      <c r="O36" s="133" t="inlineStr">
        <is>
          <t>Some – 1–2 recurring complaints</t>
        </is>
      </c>
      <c r="P36" s="133">
        <f>IF(O36="","",VLOOKUP(O36,Rubric!$A$75:$B$77,2,FALSE()))</f>
        <v/>
      </c>
      <c r="Q36" s="133" t="n">
        <v>28</v>
      </c>
      <c r="R36" s="133">
        <f>IF(Q36="","",Q36/Rubric!$B$7)</f>
        <v/>
      </c>
      <c r="S36" s="133">
        <f>IF(R36="","",VLOOKUP(R36,Rubric!$A$51:$B$53,2,TRUE()))</f>
        <v/>
      </c>
      <c r="T36" s="133">
        <f>IF(COUNT(N36,P36,S36)=0,"",SUM(N36,P36,S36))</f>
        <v/>
      </c>
      <c r="U36" s="133" t="n">
        <v>3</v>
      </c>
      <c r="V36" s="133">
        <f>IF(U36="","",VLOOKUP(MAX(U36,0),Rubric!$A$57:$B$59,2,TRUE()))</f>
        <v/>
      </c>
      <c r="W36" s="133" t="n"/>
      <c r="X36" s="133" t="n"/>
      <c r="Y36" s="133">
        <f>IF(OR(W36="",X36=""),"",IF(AND(W36&gt;=Rubric!$B$8,W36&lt;=Rubric!$B$9),IF(Rubric!$B$13=1,(W36-X36*Rubric!$B$12)*Rubric!$B$10,W36*Rubric!$B$10-X36*Rubric!$B$12),W36*Rubric!$B$11))</f>
        <v/>
      </c>
      <c r="Z36" s="133">
        <f>IF($B36="","",IF(AND(W36="",X36=""),7,IF(OR(W36="",X36=""),"",IF(X36&gt;Rubric!$B$17,0,IF(AND(Y36&gt;Rubric!$B$14,X36&lt;Rubric!$B$15),7,IF(Y36&gt;Rubric!$B$16,4,0))))))</f>
        <v/>
      </c>
      <c r="AA36" s="133" t="inlineStr">
        <is>
          <t>Medium – 2–4%</t>
        </is>
      </c>
      <c r="AB36" s="133">
        <f>IF(AA36="","",VLOOKUP(AA36,Rubric!$A$81:$B$83,2,FALSE()))</f>
        <v/>
      </c>
      <c r="AC36" s="133">
        <f>IF(COUNT(V36,Z36,AB36)=0,"",SUM(V36,Z36,AB36))</f>
        <v/>
      </c>
      <c r="AD36" s="133" t="inlineStr">
        <is>
          <t>Partial – needs Book Studio or manual content</t>
        </is>
      </c>
      <c r="AE36" s="133">
        <f>IF(AD36="","",VLOOKUP(AD36,Rubric!$A$87:$B$89,2,FALSE()))</f>
        <v/>
      </c>
      <c r="AF36" s="133" t="inlineStr">
        <is>
          <t>Medium – how-to / educational accuracy</t>
        </is>
      </c>
      <c r="AG36" s="133">
        <f>IF(AF36="","",VLOOKUP(AF36,Rubric!$A$93:$C$96,2,FALSE()))</f>
        <v/>
      </c>
      <c r="AH36" s="133">
        <f>IF(COUNT(AE36,AG36)=0,"",SUM(AE36,AG36))</f>
        <v/>
      </c>
      <c r="AI36" s="133" t="inlineStr">
        <is>
          <t>2–3 cluster titles</t>
        </is>
      </c>
      <c r="AJ36" s="133">
        <f>IF(AI36="","",VLOOKUP(AI36,Rubric!$A$100:$B$102,2,FALSE()))</f>
        <v/>
      </c>
      <c r="AK36" s="133" t="inlineStr">
        <is>
          <t>1 channel focus</t>
        </is>
      </c>
      <c r="AL36" s="133">
        <f>IF(AK36="","",VLOOKUP(AK36,Rubric!$A$106:$B$108,2,FALSE()))</f>
        <v/>
      </c>
      <c r="AM36" s="133">
        <f>IF(COUNT(AJ36,AL36)=0,"",SUM(AJ36,AL36))</f>
        <v/>
      </c>
      <c r="AN36" s="133">
        <f>IF($B36="","",SUM(L36,T36,AC36,AH36,AM36))</f>
        <v/>
      </c>
      <c r="AO36" s="133" t="n"/>
      <c r="AP36" s="133" t="n"/>
      <c r="AQ36" s="133" t="n"/>
      <c r="AR36" s="133">
        <f>IF(OR(W36="",X36=""),"",IF(OR(X36&gt;Rubric!$B$19,Y36&lt;Rubric!$B$18),"VETO",""))</f>
        <v/>
      </c>
      <c r="AS36" s="133">
        <f>IF(AF36="","",IF(VLOOKUP(AF36,Rubric!$A$93:$C$96,3,FALSE())="Yes","VETO",""))</f>
        <v/>
      </c>
      <c r="AT36" s="133">
        <f>IF($B36="","",IF(OR(AO36="Yes",AP36="Yes",AQ36="Yes",AR36="VETO",AS36="VETO"),"VETO",""))</f>
        <v/>
      </c>
      <c r="AU36" s="133">
        <f>IF($B36="","",12-COUNTA(F36,H36,J36,M36,O36,Q36,U36,AA36,AD36,AF36,AI36,AK36)+IF(AND(OR(W36="",X36=""),NOT(AND(W36="",X36=""))),1,0))</f>
        <v/>
      </c>
      <c r="AV36" s="133">
        <f>IF($B36="","",IF(AT36="VETO","Rejected – veto",IF(AU36&gt;0,"Incomplete ("&amp;AU36&amp;" missing)",IF(AN36&gt;=Rubric!$B$5,"Tier 1 – Approved",IF(AN36&gt;=Rubric!$B$6,"Tier 2 – Watchlist","Tier 3 – Rejected")))))</f>
        <v/>
      </c>
      <c r="AW36" s="133">
        <f>IF(OR($B36="",AT36="VETO"),"",IF(AU36&gt;0,"",1+SUMPRODUCT(($B$6:$B$60&lt;&gt;"")*($AT$6:$AT$60&lt;&gt;"VETO")*($AU$6:$AU$60=0)*($AN$6:$AN$60&gt;AN36))))</f>
        <v/>
      </c>
      <c r="AX36" s="133" t="n"/>
      <c r="AY36" s="133" t="inlineStr">
        <is>
          <t>BSR top3 ~600000, reviews top10 ~60, generic 28/48. Intent Medium – topic with some buying signal, freshness Partial – new entrant but weak signals, defect Some – 1–2 recurring complaints. Based on Amazon search sampling Oct 2026, subagent research, and category benchmarks.</t>
        </is>
      </c>
      <c r="AZ36" s="133" t="inlineStr">
        <is>
          <t>Amazon.com search Oct 7 2026; subagent BSR sampling; category BSR proxies; policy: KDP low-content guidelines.</t>
        </is>
      </c>
    </row>
    <row r="37">
      <c r="A37" s="133">
        <f>IF($B37="","",ROW()-5)</f>
        <v/>
      </c>
      <c r="B37" s="133" t="inlineStr">
        <is>
          <t>Large-Print Logic &amp; Spatial Reasoning Puzzles for Adults</t>
        </is>
      </c>
      <c r="C37" s="133" t="inlineStr">
        <is>
          <t>Adult logic puzzles / large print</t>
        </is>
      </c>
      <c r="D37" s="133" t="inlineStr">
        <is>
          <t>Medium-content</t>
        </is>
      </c>
      <c r="E37" s="227" t="n">
        <v>46302</v>
      </c>
      <c r="F37" s="133" t="n">
        <v>120000</v>
      </c>
      <c r="G37" s="133">
        <f>IF(F37="","",VLOOKUP(F37,Rubric!$A$37:$B$40,2,TRUE()))</f>
        <v/>
      </c>
      <c r="H37" s="133" t="inlineStr">
        <is>
          <t>Medium – topic with some buying signal</t>
        </is>
      </c>
      <c r="I37" s="133">
        <f>IF(H37="","",VLOOKUP(H37,Rubric!$A$63:$B$65,2,FALSE()))</f>
        <v/>
      </c>
      <c r="J37" s="133" t="inlineStr">
        <is>
          <t>Yes – new entrant &lt;6 mo, &lt;100 reviews, BSR &lt;100k</t>
        </is>
      </c>
      <c r="K37" s="133">
        <f>IF(J37="","",VLOOKUP(J37,Rubric!$A$69:$B$71,2,FALSE()))</f>
        <v/>
      </c>
      <c r="L37" s="133">
        <f>IF(COUNT(G37,I37,K37)=0,"",SUM(G37,I37,K37))</f>
        <v/>
      </c>
      <c r="M37" s="133" t="n">
        <v>90</v>
      </c>
      <c r="N37" s="133">
        <f>IF(M37="","",VLOOKUP(M37,Rubric!$A$44:$B$47,2,TRUE()))</f>
        <v/>
      </c>
      <c r="O37" s="133" t="inlineStr">
        <is>
          <t>Some – 1–2 recurring complaints</t>
        </is>
      </c>
      <c r="P37" s="133">
        <f>IF(O37="","",VLOOKUP(O37,Rubric!$A$75:$B$77,2,FALSE()))</f>
        <v/>
      </c>
      <c r="Q37" s="133" t="n">
        <v>20</v>
      </c>
      <c r="R37" s="133">
        <f>IF(Q37="","",Q37/Rubric!$B$7)</f>
        <v/>
      </c>
      <c r="S37" s="133">
        <f>IF(R37="","",VLOOKUP(R37,Rubric!$A$51:$B$53,2,TRUE()))</f>
        <v/>
      </c>
      <c r="T37" s="133">
        <f>IF(COUNT(N37,P37,S37)=0,"",SUM(N37,P37,S37))</f>
        <v/>
      </c>
      <c r="U37" s="133" t="n">
        <v>3.3</v>
      </c>
      <c r="V37" s="133">
        <f>IF(U37="","",VLOOKUP(MAX(U37,0),Rubric!$A$57:$B$59,2,TRUE()))</f>
        <v/>
      </c>
      <c r="W37" s="133" t="n"/>
      <c r="X37" s="133" t="n"/>
      <c r="Y37" s="133">
        <f>IF(OR(W37="",X37=""),"",IF(AND(W37&gt;=Rubric!$B$8,W37&lt;=Rubric!$B$9),IF(Rubric!$B$13=1,(W37-X37*Rubric!$B$12)*Rubric!$B$10,W37*Rubric!$B$10-X37*Rubric!$B$12),W37*Rubric!$B$11))</f>
        <v/>
      </c>
      <c r="Z37" s="133">
        <f>IF($B37="","",IF(AND(W37="",X37=""),7,IF(OR(W37="",X37=""),"",IF(X37&gt;Rubric!$B$17,0,IF(AND(Y37&gt;Rubric!$B$14,X37&lt;Rubric!$B$15),7,IF(Y37&gt;Rubric!$B$16,4,0))))))</f>
        <v/>
      </c>
      <c r="AA37" s="133" t="inlineStr">
        <is>
          <t>Medium – 2–4%</t>
        </is>
      </c>
      <c r="AB37" s="133">
        <f>IF(AA37="","",VLOOKUP(AA37,Rubric!$A$81:$B$83,2,FALSE()))</f>
        <v/>
      </c>
      <c r="AC37" s="133">
        <f>IF(COUNT(V37,Z37,AB37)=0,"",SUM(V37,Z37,AB37))</f>
        <v/>
      </c>
      <c r="AD37" s="133" t="inlineStr">
        <is>
          <t>Partial – needs Book Studio or manual content</t>
        </is>
      </c>
      <c r="AE37" s="133">
        <f>IF(AD37="","",VLOOKUP(AD37,Rubric!$A$87:$B$89,2,FALSE()))</f>
        <v/>
      </c>
      <c r="AF37" s="133" t="inlineStr">
        <is>
          <t>Low – logs and forms, little fact-checking</t>
        </is>
      </c>
      <c r="AG37" s="133">
        <f>IF(AF37="","",VLOOKUP(AF37,Rubric!$A$93:$C$96,2,FALSE()))</f>
        <v/>
      </c>
      <c r="AH37" s="133">
        <f>IF(COUNT(AE37,AG37)=0,"",SUM(AE37,AG37))</f>
        <v/>
      </c>
      <c r="AI37" s="133" t="inlineStr">
        <is>
          <t>2–3 cluster titles</t>
        </is>
      </c>
      <c r="AJ37" s="133">
        <f>IF(AI37="","",VLOOKUP(AI37,Rubric!$A$100:$B$102,2,FALSE()))</f>
        <v/>
      </c>
      <c r="AK37" s="133" t="inlineStr">
        <is>
          <t>1 channel focus</t>
        </is>
      </c>
      <c r="AL37" s="133">
        <f>IF(AK37="","",VLOOKUP(AK37,Rubric!$A$106:$B$108,2,FALSE()))</f>
        <v/>
      </c>
      <c r="AM37" s="133">
        <f>IF(COUNT(AJ37,AL37)=0,"",SUM(AJ37,AL37))</f>
        <v/>
      </c>
      <c r="AN37" s="133">
        <f>IF($B37="","",SUM(L37,T37,AC37,AH37,AM37))</f>
        <v/>
      </c>
      <c r="AO37" s="133" t="n"/>
      <c r="AP37" s="133" t="n"/>
      <c r="AQ37" s="133" t="n"/>
      <c r="AR37" s="133">
        <f>IF(OR(W37="",X37=""),"",IF(OR(X37&gt;Rubric!$B$19,Y37&lt;Rubric!$B$18),"VETO",""))</f>
        <v/>
      </c>
      <c r="AS37" s="133">
        <f>IF(AF37="","",IF(VLOOKUP(AF37,Rubric!$A$93:$C$96,3,FALSE())="Yes","VETO",""))</f>
        <v/>
      </c>
      <c r="AT37" s="133">
        <f>IF($B37="","",IF(OR(AO37="Yes",AP37="Yes",AQ37="Yes",AR37="VETO",AS37="VETO"),"VETO",""))</f>
        <v/>
      </c>
      <c r="AU37" s="133">
        <f>IF($B37="","",12-COUNTA(F37,H37,J37,M37,O37,Q37,U37,AA37,AD37,AF37,AI37,AK37)+IF(AND(OR(W37="",X37=""),NOT(AND(W37="",X37=""))),1,0))</f>
        <v/>
      </c>
      <c r="AV37" s="133">
        <f>IF($B37="","",IF(AT37="VETO","Rejected – veto",IF(AU37&gt;0,"Incomplete ("&amp;AU37&amp;" missing)",IF(AN37&gt;=Rubric!$B$5,"Tier 1 – Approved",IF(AN37&gt;=Rubric!$B$6,"Tier 2 – Watchlist","Tier 3 – Rejected")))))</f>
        <v/>
      </c>
      <c r="AW37" s="133">
        <f>IF(OR($B37="",AT37="VETO"),"",IF(AU37&gt;0,"",1+SUMPRODUCT(($B$6:$B$60&lt;&gt;"")*($AT$6:$AT$60&lt;&gt;"VETO")*($AU$6:$AU$60=0)*($AN$6:$AN$60&gt;AN37))))</f>
        <v/>
      </c>
      <c r="AX37" s="133" t="n"/>
      <c r="AY37" s="133" t="inlineStr">
        <is>
          <t>BSR top3 ~120000, reviews top10 ~90, generic 20/48. Intent Medium – topic with some buying signal, freshness Yes – new entrant &lt;6 mo, &lt;100 reviews, BSR &lt;100k, defect Some – 1–2 recurring complaints. Based on Amazon search sampling Oct 2026, subagent research, and category benchmarks.</t>
        </is>
      </c>
      <c r="AZ37" s="133" t="inlineStr">
        <is>
          <t>Amazon.com search Oct 7 2026; subagent BSR sampling; category BSR proxies; policy: KDP low-content guidelines.</t>
        </is>
      </c>
    </row>
    <row r="38">
      <c r="A38" s="133">
        <f>IF($B38="","",ROW()-5)</f>
        <v/>
      </c>
      <c r="B38" s="133" t="inlineStr">
        <is>
          <t>Beginner Calligraphy Practice Workbook for Adults</t>
        </is>
      </c>
      <c r="C38" s="133" t="inlineStr">
        <is>
          <t>Calligraphy / lettering practice</t>
        </is>
      </c>
      <c r="D38" s="133" t="inlineStr">
        <is>
          <t>Medium-content</t>
        </is>
      </c>
      <c r="E38" s="227" t="n">
        <v>46302</v>
      </c>
      <c r="F38" s="133" t="n">
        <v>200000</v>
      </c>
      <c r="G38" s="133">
        <f>IF(F38="","",VLOOKUP(F38,Rubric!$A$37:$B$40,2,TRUE()))</f>
        <v/>
      </c>
      <c r="H38" s="133" t="inlineStr">
        <is>
          <t>Medium – topic with some buying signal</t>
        </is>
      </c>
      <c r="I38" s="133">
        <f>IF(H38="","",VLOOKUP(H38,Rubric!$A$63:$B$65,2,FALSE()))</f>
        <v/>
      </c>
      <c r="J38" s="133" t="inlineStr">
        <is>
          <t>No – no recent entrants</t>
        </is>
      </c>
      <c r="K38" s="133">
        <f>IF(J38="","",VLOOKUP(J38,Rubric!$A$69:$B$71,2,FALSE()))</f>
        <v/>
      </c>
      <c r="L38" s="133">
        <f>IF(COUNT(G38,I38,K38)=0,"",SUM(G38,I38,K38))</f>
        <v/>
      </c>
      <c r="M38" s="133" t="n">
        <v>70</v>
      </c>
      <c r="N38" s="133">
        <f>IF(M38="","",VLOOKUP(M38,Rubric!$A$44:$B$47,2,TRUE()))</f>
        <v/>
      </c>
      <c r="O38" s="133" t="inlineStr">
        <is>
          <t>Some – 1–2 recurring complaints</t>
        </is>
      </c>
      <c r="P38" s="133">
        <f>IF(O38="","",VLOOKUP(O38,Rubric!$A$75:$B$77,2,FALSE()))</f>
        <v/>
      </c>
      <c r="Q38" s="133" t="n">
        <v>24</v>
      </c>
      <c r="R38" s="133">
        <f>IF(Q38="","",Q38/Rubric!$B$7)</f>
        <v/>
      </c>
      <c r="S38" s="133">
        <f>IF(R38="","",VLOOKUP(R38,Rubric!$A$51:$B$53,2,TRUE()))</f>
        <v/>
      </c>
      <c r="T38" s="133">
        <f>IF(COUNT(N38,P38,S38)=0,"",SUM(N38,P38,S38))</f>
        <v/>
      </c>
      <c r="U38" s="133" t="n">
        <v>3.2</v>
      </c>
      <c r="V38" s="133">
        <f>IF(U38="","",VLOOKUP(MAX(U38,0),Rubric!$A$57:$B$59,2,TRUE()))</f>
        <v/>
      </c>
      <c r="W38" s="133" t="n"/>
      <c r="X38" s="133" t="n"/>
      <c r="Y38" s="133">
        <f>IF(OR(W38="",X38=""),"",IF(AND(W38&gt;=Rubric!$B$8,W38&lt;=Rubric!$B$9),IF(Rubric!$B$13=1,(W38-X38*Rubric!$B$12)*Rubric!$B$10,W38*Rubric!$B$10-X38*Rubric!$B$12),W38*Rubric!$B$11))</f>
        <v/>
      </c>
      <c r="Z38" s="133">
        <f>IF($B38="","",IF(AND(W38="",X38=""),7,IF(OR(W38="",X38=""),"",IF(X38&gt;Rubric!$B$17,0,IF(AND(Y38&gt;Rubric!$B$14,X38&lt;Rubric!$B$15),7,IF(Y38&gt;Rubric!$B$16,4,0))))))</f>
        <v/>
      </c>
      <c r="AA38" s="133" t="inlineStr">
        <is>
          <t>Medium – 2–4%</t>
        </is>
      </c>
      <c r="AB38" s="133">
        <f>IF(AA38="","",VLOOKUP(AA38,Rubric!$A$81:$B$83,2,FALSE()))</f>
        <v/>
      </c>
      <c r="AC38" s="133">
        <f>IF(COUNT(V38,Z38,AB38)=0,"",SUM(V38,Z38,AB38))</f>
        <v/>
      </c>
      <c r="AD38" s="133" t="inlineStr">
        <is>
          <t>Low – custom illustration or heavy manual work</t>
        </is>
      </c>
      <c r="AE38" s="133">
        <f>IF(AD38="","",VLOOKUP(AD38,Rubric!$A$87:$B$89,2,FALSE()))</f>
        <v/>
      </c>
      <c r="AF38" s="133" t="inlineStr">
        <is>
          <t>Low – logs and forms, little fact-checking</t>
        </is>
      </c>
      <c r="AG38" s="133">
        <f>IF(AF38="","",VLOOKUP(AF38,Rubric!$A$93:$C$96,2,FALSE()))</f>
        <v/>
      </c>
      <c r="AH38" s="133">
        <f>IF(COUNT(AE38,AG38)=0,"",SUM(AE38,AG38))</f>
        <v/>
      </c>
      <c r="AI38" s="133" t="inlineStr">
        <is>
          <t>1–2 cluster titles</t>
        </is>
      </c>
      <c r="AJ38" s="133">
        <f>IF(AI38="","",VLOOKUP(AI38,Rubric!$A$100:$B$102,2,FALSE()))</f>
        <v/>
      </c>
      <c r="AK38" s="133" t="inlineStr">
        <is>
          <t>1 channel focus</t>
        </is>
      </c>
      <c r="AL38" s="133">
        <f>IF(AK38="","",VLOOKUP(AK38,Rubric!$A$106:$B$108,2,FALSE()))</f>
        <v/>
      </c>
      <c r="AM38" s="133">
        <f>IF(COUNT(AJ38,AL38)=0,"",SUM(AJ38,AL38))</f>
        <v/>
      </c>
      <c r="AN38" s="133">
        <f>IF($B38="","",SUM(L38,T38,AC38,AH38,AM38))</f>
        <v/>
      </c>
      <c r="AO38" s="133" t="n"/>
      <c r="AP38" s="133" t="n"/>
      <c r="AQ38" s="133" t="n"/>
      <c r="AR38" s="133">
        <f>IF(OR(W38="",X38=""),"",IF(OR(X38&gt;Rubric!$B$19,Y38&lt;Rubric!$B$18),"VETO",""))</f>
        <v/>
      </c>
      <c r="AS38" s="133">
        <f>IF(AF38="","",IF(VLOOKUP(AF38,Rubric!$A$93:$C$96,3,FALSE())="Yes","VETO",""))</f>
        <v/>
      </c>
      <c r="AT38" s="133">
        <f>IF($B38="","",IF(OR(AO38="Yes",AP38="Yes",AQ38="Yes",AR38="VETO",AS38="VETO"),"VETO",""))</f>
        <v/>
      </c>
      <c r="AU38" s="133">
        <f>IF($B38="","",12-COUNTA(F38,H38,J38,M38,O38,Q38,U38,AA38,AD38,AF38,AI38,AK38)+IF(AND(OR(W38="",X38=""),NOT(AND(W38="",X38=""))),1,0))</f>
        <v/>
      </c>
      <c r="AV38" s="133">
        <f>IF($B38="","",IF(AT38="VETO","Rejected – veto",IF(AU38&gt;0,"Incomplete ("&amp;AU38&amp;" missing)",IF(AN38&gt;=Rubric!$B$5,"Tier 1 – Approved",IF(AN38&gt;=Rubric!$B$6,"Tier 2 – Watchlist","Tier 3 – Rejected")))))</f>
        <v/>
      </c>
      <c r="AW38" s="133">
        <f>IF(OR($B38="",AT38="VETO"),"",IF(AU38&gt;0,"",1+SUMPRODUCT(($B$6:$B$60&lt;&gt;"")*($AT$6:$AT$60&lt;&gt;"VETO")*($AU$6:$AU$60=0)*($AN$6:$AN$60&gt;AN38))))</f>
        <v/>
      </c>
      <c r="AX38" s="133" t="n"/>
      <c r="AY38" s="133" t="inlineStr">
        <is>
          <t>BSR top3 ~200000, reviews top10 ~70, generic 24/48. Intent Medium – topic with some buying signal, freshness No – no recent entrants, defect Some – 1–2 recurring complaints. Based on Amazon search sampling Oct 2026, subagent research, and category benchmarks.</t>
        </is>
      </c>
      <c r="AZ38" s="133" t="inlineStr">
        <is>
          <t>Amazon.com search Oct 7 2026; subagent BSR sampling; category BSR proxies; policy: KDP low-content guidelines.</t>
        </is>
      </c>
    </row>
    <row r="39">
      <c r="A39" s="133">
        <f>IF($B39="","",ROW()-5)</f>
        <v/>
      </c>
      <c r="B39" s="133" t="inlineStr">
        <is>
          <t>Music Theory Practice Workbook for Adult Beginners</t>
        </is>
      </c>
      <c r="C39" s="133" t="inlineStr">
        <is>
          <t>Music education / beginner theory</t>
        </is>
      </c>
      <c r="D39" s="133" t="inlineStr">
        <is>
          <t>Medium-content</t>
        </is>
      </c>
      <c r="E39" s="227" t="n">
        <v>46302</v>
      </c>
      <c r="F39" s="133" t="n">
        <v>250000</v>
      </c>
      <c r="G39" s="133">
        <f>IF(F39="","",VLOOKUP(F39,Rubric!$A$37:$B$40,2,TRUE()))</f>
        <v/>
      </c>
      <c r="H39" s="133" t="inlineStr">
        <is>
          <t>Medium – topic with some buying signal</t>
        </is>
      </c>
      <c r="I39" s="133">
        <f>IF(H39="","",VLOOKUP(H39,Rubric!$A$63:$B$65,2,FALSE()))</f>
        <v/>
      </c>
      <c r="J39" s="133" t="inlineStr">
        <is>
          <t>No – no recent entrants</t>
        </is>
      </c>
      <c r="K39" s="133">
        <f>IF(J39="","",VLOOKUP(J39,Rubric!$A$69:$B$71,2,FALSE()))</f>
        <v/>
      </c>
      <c r="L39" s="133">
        <f>IF(COUNT(G39,I39,K39)=0,"",SUM(G39,I39,K39))</f>
        <v/>
      </c>
      <c r="M39" s="133" t="n">
        <v>50</v>
      </c>
      <c r="N39" s="133">
        <f>IF(M39="","",VLOOKUP(M39,Rubric!$A$44:$B$47,2,TRUE()))</f>
        <v/>
      </c>
      <c r="O39" s="133" t="inlineStr">
        <is>
          <t>Some – 1–2 recurring complaints</t>
        </is>
      </c>
      <c r="P39" s="133">
        <f>IF(O39="","",VLOOKUP(O39,Rubric!$A$75:$B$77,2,FALSE()))</f>
        <v/>
      </c>
      <c r="Q39" s="133" t="n">
        <v>22</v>
      </c>
      <c r="R39" s="133">
        <f>IF(Q39="","",Q39/Rubric!$B$7)</f>
        <v/>
      </c>
      <c r="S39" s="133">
        <f>IF(R39="","",VLOOKUP(R39,Rubric!$A$51:$B$53,2,TRUE()))</f>
        <v/>
      </c>
      <c r="T39" s="133">
        <f>IF(COUNT(N39,P39,S39)=0,"",SUM(N39,P39,S39))</f>
        <v/>
      </c>
      <c r="U39" s="133" t="n">
        <v>3.1</v>
      </c>
      <c r="V39" s="133">
        <f>IF(U39="","",VLOOKUP(MAX(U39,0),Rubric!$A$57:$B$59,2,TRUE()))</f>
        <v/>
      </c>
      <c r="W39" s="133" t="n"/>
      <c r="X39" s="133" t="n"/>
      <c r="Y39" s="133">
        <f>IF(OR(W39="",X39=""),"",IF(AND(W39&gt;=Rubric!$B$8,W39&lt;=Rubric!$B$9),IF(Rubric!$B$13=1,(W39-X39*Rubric!$B$12)*Rubric!$B$10,W39*Rubric!$B$10-X39*Rubric!$B$12),W39*Rubric!$B$11))</f>
        <v/>
      </c>
      <c r="Z39" s="133">
        <f>IF($B39="","",IF(AND(W39="",X39=""),7,IF(OR(W39="",X39=""),"",IF(X39&gt;Rubric!$B$17,0,IF(AND(Y39&gt;Rubric!$B$14,X39&lt;Rubric!$B$15),7,IF(Y39&gt;Rubric!$B$16,4,0))))))</f>
        <v/>
      </c>
      <c r="AA39" s="133" t="inlineStr">
        <is>
          <t>Low – utility log or workbook, &lt;2%</t>
        </is>
      </c>
      <c r="AB39" s="133">
        <f>IF(AA39="","",VLOOKUP(AA39,Rubric!$A$81:$B$83,2,FALSE()))</f>
        <v/>
      </c>
      <c r="AC39" s="133">
        <f>IF(COUNT(V39,Z39,AB39)=0,"",SUM(V39,Z39,AB39))</f>
        <v/>
      </c>
      <c r="AD39" s="133" t="inlineStr">
        <is>
          <t>Partial – needs Book Studio or manual content</t>
        </is>
      </c>
      <c r="AE39" s="133">
        <f>IF(AD39="","",VLOOKUP(AD39,Rubric!$A$87:$B$89,2,FALSE()))</f>
        <v/>
      </c>
      <c r="AF39" s="133" t="inlineStr">
        <is>
          <t>Medium – how-to / educational accuracy</t>
        </is>
      </c>
      <c r="AG39" s="133">
        <f>IF(AF39="","",VLOOKUP(AF39,Rubric!$A$93:$C$96,2,FALSE()))</f>
        <v/>
      </c>
      <c r="AH39" s="133">
        <f>IF(COUNT(AE39,AG39)=0,"",SUM(AE39,AG39))</f>
        <v/>
      </c>
      <c r="AI39" s="133" t="inlineStr">
        <is>
          <t>1–2 cluster titles</t>
        </is>
      </c>
      <c r="AJ39" s="133">
        <f>IF(AI39="","",VLOOKUP(AI39,Rubric!$A$100:$B$102,2,FALSE()))</f>
        <v/>
      </c>
      <c r="AK39" s="133" t="inlineStr">
        <is>
          <t>1 channel focus</t>
        </is>
      </c>
      <c r="AL39" s="133">
        <f>IF(AK39="","",VLOOKUP(AK39,Rubric!$A$106:$B$108,2,FALSE()))</f>
        <v/>
      </c>
      <c r="AM39" s="133">
        <f>IF(COUNT(AJ39,AL39)=0,"",SUM(AJ39,AL39))</f>
        <v/>
      </c>
      <c r="AN39" s="133">
        <f>IF($B39="","",SUM(L39,T39,AC39,AH39,AM39))</f>
        <v/>
      </c>
      <c r="AO39" s="133" t="n"/>
      <c r="AP39" s="133" t="n"/>
      <c r="AQ39" s="133" t="n"/>
      <c r="AR39" s="133">
        <f>IF(OR(W39="",X39=""),"",IF(OR(X39&gt;Rubric!$B$19,Y39&lt;Rubric!$B$18),"VETO",""))</f>
        <v/>
      </c>
      <c r="AS39" s="133">
        <f>IF(AF39="","",IF(VLOOKUP(AF39,Rubric!$A$93:$C$96,3,FALSE())="Yes","VETO",""))</f>
        <v/>
      </c>
      <c r="AT39" s="133">
        <f>IF($B39="","",IF(OR(AO39="Yes",AP39="Yes",AQ39="Yes",AR39="VETO",AS39="VETO"),"VETO",""))</f>
        <v/>
      </c>
      <c r="AU39" s="133">
        <f>IF($B39="","",12-COUNTA(F39,H39,J39,M39,O39,Q39,U39,AA39,AD39,AF39,AI39,AK39)+IF(AND(OR(W39="",X39=""),NOT(AND(W39="",X39=""))),1,0))</f>
        <v/>
      </c>
      <c r="AV39" s="133">
        <f>IF($B39="","",IF(AT39="VETO","Rejected – veto",IF(AU39&gt;0,"Incomplete ("&amp;AU39&amp;" missing)",IF(AN39&gt;=Rubric!$B$5,"Tier 1 – Approved",IF(AN39&gt;=Rubric!$B$6,"Tier 2 – Watchlist","Tier 3 – Rejected")))))</f>
        <v/>
      </c>
      <c r="AW39" s="133">
        <f>IF(OR($B39="",AT39="VETO"),"",IF(AU39&gt;0,"",1+SUMPRODUCT(($B$6:$B$60&lt;&gt;"")*($AT$6:$AT$60&lt;&gt;"VETO")*($AU$6:$AU$60=0)*($AN$6:$AN$60&gt;AN39))))</f>
        <v/>
      </c>
      <c r="AX39" s="133" t="n"/>
      <c r="AY39" s="133" t="inlineStr">
        <is>
          <t>BSR top3 ~250000, reviews top10 ~50, generic 22/48. Intent Medium – topic with some buying signal, freshness No – no recent entrants, defect Some – 1–2 recurring complaints. Based on Amazon search sampling Oct 2026, subagent research, and category benchmarks.</t>
        </is>
      </c>
      <c r="AZ39" s="133" t="inlineStr">
        <is>
          <t>Amazon.com search Oct 7 2026; subagent BSR sampling; category BSR proxies; policy: KDP low-content guidelines.</t>
        </is>
      </c>
    </row>
    <row r="40">
      <c r="A40" s="133">
        <f>IF($B40="","",ROW()-5)</f>
        <v/>
      </c>
      <c r="B40" s="133" t="inlineStr">
        <is>
          <t>Backyard Birdwatching Activity Book for Kids</t>
        </is>
      </c>
      <c r="C40" s="133" t="inlineStr">
        <is>
          <t>Birding / children's nature learning</t>
        </is>
      </c>
      <c r="D40" s="133" t="inlineStr">
        <is>
          <t>Medium-content</t>
        </is>
      </c>
      <c r="E40" s="227" t="n">
        <v>46302</v>
      </c>
      <c r="F40" s="133" t="n">
        <v>90000</v>
      </c>
      <c r="G40" s="133">
        <f>IF(F40="","",VLOOKUP(F40,Rubric!$A$37:$B$40,2,TRUE()))</f>
        <v/>
      </c>
      <c r="H40" s="133" t="inlineStr">
        <is>
          <t>High – specific problem + buying word</t>
        </is>
      </c>
      <c r="I40" s="133">
        <f>IF(H40="","",VLOOKUP(H40,Rubric!$A$63:$B$65,2,FALSE()))</f>
        <v/>
      </c>
      <c r="J40" s="133" t="inlineStr">
        <is>
          <t>Partial – new entrant but weak signals</t>
        </is>
      </c>
      <c r="K40" s="133">
        <f>IF(J40="","",VLOOKUP(J40,Rubric!$A$69:$B$71,2,FALSE()))</f>
        <v/>
      </c>
      <c r="L40" s="133">
        <f>IF(COUNT(G40,I40,K40)=0,"",SUM(G40,I40,K40))</f>
        <v/>
      </c>
      <c r="M40" s="133" t="n">
        <v>35</v>
      </c>
      <c r="N40" s="133">
        <f>IF(M40="","",VLOOKUP(M40,Rubric!$A$44:$B$47,2,TRUE()))</f>
        <v/>
      </c>
      <c r="O40" s="133" t="inlineStr">
        <is>
          <t>Some – 1–2 recurring complaints</t>
        </is>
      </c>
      <c r="P40" s="133">
        <f>IF(O40="","",VLOOKUP(O40,Rubric!$A$75:$B$77,2,FALSE()))</f>
        <v/>
      </c>
      <c r="Q40" s="133" t="n">
        <v>26</v>
      </c>
      <c r="R40" s="133">
        <f>IF(Q40="","",Q40/Rubric!$B$7)</f>
        <v/>
      </c>
      <c r="S40" s="133">
        <f>IF(R40="","",VLOOKUP(R40,Rubric!$A$51:$B$53,2,TRUE()))</f>
        <v/>
      </c>
      <c r="T40" s="133">
        <f>IF(COUNT(N40,P40,S40)=0,"",SUM(N40,P40,S40))</f>
        <v/>
      </c>
      <c r="U40" s="133" t="n">
        <v>3.2</v>
      </c>
      <c r="V40" s="133">
        <f>IF(U40="","",VLOOKUP(MAX(U40,0),Rubric!$A$57:$B$59,2,TRUE()))</f>
        <v/>
      </c>
      <c r="W40" s="133" t="n"/>
      <c r="X40" s="133" t="n"/>
      <c r="Y40" s="133">
        <f>IF(OR(W40="",X40=""),"",IF(AND(W40&gt;=Rubric!$B$8,W40&lt;=Rubric!$B$9),IF(Rubric!$B$13=1,(W40-X40*Rubric!$B$12)*Rubric!$B$10,W40*Rubric!$B$10-X40*Rubric!$B$12),W40*Rubric!$B$11))</f>
        <v/>
      </c>
      <c r="Z40" s="133">
        <f>IF($B40="","",IF(AND(W40="",X40=""),7,IF(OR(W40="",X40=""),"",IF(X40&gt;Rubric!$B$17,0,IF(AND(Y40&gt;Rubric!$B$14,X40&lt;Rubric!$B$15),7,IF(Y40&gt;Rubric!$B$16,4,0))))))</f>
        <v/>
      </c>
      <c r="AA40" s="133" t="inlineStr">
        <is>
          <t>Medium – 2–4%</t>
        </is>
      </c>
      <c r="AB40" s="133">
        <f>IF(AA40="","",VLOOKUP(AA40,Rubric!$A$81:$B$83,2,FALSE()))</f>
        <v/>
      </c>
      <c r="AC40" s="133">
        <f>IF(COUNT(V40,Z40,AB40)=0,"",SUM(V40,Z40,AB40))</f>
        <v/>
      </c>
      <c r="AD40" s="133" t="inlineStr">
        <is>
          <t>Partial – needs Book Studio or manual content</t>
        </is>
      </c>
      <c r="AE40" s="133">
        <f>IF(AD40="","",VLOOKUP(AD40,Rubric!$A$87:$B$89,2,FALSE()))</f>
        <v/>
      </c>
      <c r="AF40" s="133" t="inlineStr">
        <is>
          <t>Medium – how-to / educational accuracy</t>
        </is>
      </c>
      <c r="AG40" s="133">
        <f>IF(AF40="","",VLOOKUP(AF40,Rubric!$A$93:$C$96,2,FALSE()))</f>
        <v/>
      </c>
      <c r="AH40" s="133">
        <f>IF(COUNT(AE40,AG40)=0,"",SUM(AE40,AG40))</f>
        <v/>
      </c>
      <c r="AI40" s="133" t="inlineStr">
        <is>
          <t>3–4 cluster titles</t>
        </is>
      </c>
      <c r="AJ40" s="133">
        <f>IF(AI40="","",VLOOKUP(AI40,Rubric!$A$100:$B$102,2,FALSE()))</f>
        <v/>
      </c>
      <c r="AK40" s="133" t="inlineStr">
        <is>
          <t>2 channels with distinct uses</t>
        </is>
      </c>
      <c r="AL40" s="133">
        <f>IF(AK40="","",VLOOKUP(AK40,Rubric!$A$106:$B$108,2,FALSE()))</f>
        <v/>
      </c>
      <c r="AM40" s="133">
        <f>IF(COUNT(AJ40,AL40)=0,"",SUM(AJ40,AL40))</f>
        <v/>
      </c>
      <c r="AN40" s="133">
        <f>IF($B40="","",SUM(L40,T40,AC40,AH40,AM40))</f>
        <v/>
      </c>
      <c r="AO40" s="133" t="n"/>
      <c r="AP40" s="133" t="n"/>
      <c r="AQ40" s="133" t="n"/>
      <c r="AR40" s="133">
        <f>IF(OR(W40="",X40=""),"",IF(OR(X40&gt;Rubric!$B$19,Y40&lt;Rubric!$B$18),"VETO",""))</f>
        <v/>
      </c>
      <c r="AS40" s="133">
        <f>IF(AF40="","",IF(VLOOKUP(AF40,Rubric!$A$93:$C$96,3,FALSE())="Yes","VETO",""))</f>
        <v/>
      </c>
      <c r="AT40" s="133">
        <f>IF($B40="","",IF(OR(AO40="Yes",AP40="Yes",AQ40="Yes",AR40="VETO",AS40="VETO"),"VETO",""))</f>
        <v/>
      </c>
      <c r="AU40" s="133">
        <f>IF($B40="","",12-COUNTA(F40,H40,J40,M40,O40,Q40,U40,AA40,AD40,AF40,AI40,AK40)+IF(AND(OR(W40="",X40=""),NOT(AND(W40="",X40=""))),1,0))</f>
        <v/>
      </c>
      <c r="AV40" s="133">
        <f>IF($B40="","",IF(AT40="VETO","Rejected – veto",IF(AU40&gt;0,"Incomplete ("&amp;AU40&amp;" missing)",IF(AN40&gt;=Rubric!$B$5,"Tier 1 – Approved",IF(AN40&gt;=Rubric!$B$6,"Tier 2 – Watchlist","Tier 3 – Rejected")))))</f>
        <v/>
      </c>
      <c r="AW40" s="133">
        <f>IF(OR($B40="",AT40="VETO"),"",IF(AU40&gt;0,"",1+SUMPRODUCT(($B$6:$B$60&lt;&gt;"")*($AT$6:$AT$60&lt;&gt;"VETO")*($AU$6:$AU$60=0)*($AN$6:$AN$60&gt;AN40))))</f>
        <v/>
      </c>
      <c r="AX40" s="133" t="n"/>
      <c r="AY40" s="133" t="inlineStr">
        <is>
          <t>BSR top3 ~90000, reviews top10 ~35, generic 26/48. Intent High – specific problem + buying word, freshness Partial – new entrant but weak signals, defect Some – 1–2 recurring complaints. Based on Amazon search sampling Oct 2026, subagent research, and category benchmarks.</t>
        </is>
      </c>
      <c r="AZ40" s="133" t="inlineStr">
        <is>
          <t>Amazon.com search Oct 7 2026; subagent BSR sampling; category BSR proxies; policy: KDP low-content guidelines.</t>
        </is>
      </c>
    </row>
    <row r="41">
      <c r="A41" s="133">
        <f>IF($B41="","",ROW()-5)</f>
        <v/>
      </c>
      <c r="B41" s="133" t="inlineStr">
        <is>
          <t>Beginner Astronomy Activities &amp; Observation Workbook</t>
        </is>
      </c>
      <c r="C41" s="133" t="inlineStr">
        <is>
          <t>Astronomy learning / family STEM</t>
        </is>
      </c>
      <c r="D41" s="133" t="inlineStr">
        <is>
          <t>Medium-content</t>
        </is>
      </c>
      <c r="E41" s="227" t="n">
        <v>46302</v>
      </c>
      <c r="F41" s="133" t="n">
        <v>300000</v>
      </c>
      <c r="G41" s="133">
        <f>IF(F41="","",VLOOKUP(F41,Rubric!$A$37:$B$40,2,TRUE()))</f>
        <v/>
      </c>
      <c r="H41" s="133" t="inlineStr">
        <is>
          <t>Medium – topic with some buying signal</t>
        </is>
      </c>
      <c r="I41" s="133">
        <f>IF(H41="","",VLOOKUP(H41,Rubric!$A$63:$B$65,2,FALSE()))</f>
        <v/>
      </c>
      <c r="J41" s="133" t="inlineStr">
        <is>
          <t>No – no recent entrants</t>
        </is>
      </c>
      <c r="K41" s="133">
        <f>IF(J41="","",VLOOKUP(J41,Rubric!$A$69:$B$71,2,FALSE()))</f>
        <v/>
      </c>
      <c r="L41" s="133">
        <f>IF(COUNT(G41,I41,K41)=0,"",SUM(G41,I41,K41))</f>
        <v/>
      </c>
      <c r="M41" s="133" t="n">
        <v>20</v>
      </c>
      <c r="N41" s="133">
        <f>IF(M41="","",VLOOKUP(M41,Rubric!$A$44:$B$47,2,TRUE()))</f>
        <v/>
      </c>
      <c r="O41" s="133" t="inlineStr">
        <is>
          <t>Some – 1–2 recurring complaints</t>
        </is>
      </c>
      <c r="P41" s="133">
        <f>IF(O41="","",VLOOKUP(O41,Rubric!$A$75:$B$77,2,FALSE()))</f>
        <v/>
      </c>
      <c r="Q41" s="133" t="n">
        <v>28</v>
      </c>
      <c r="R41" s="133">
        <f>IF(Q41="","",Q41/Rubric!$B$7)</f>
        <v/>
      </c>
      <c r="S41" s="133">
        <f>IF(R41="","",VLOOKUP(R41,Rubric!$A$51:$B$53,2,TRUE()))</f>
        <v/>
      </c>
      <c r="T41" s="133">
        <f>IF(COUNT(N41,P41,S41)=0,"",SUM(N41,P41,S41))</f>
        <v/>
      </c>
      <c r="U41" s="133" t="n">
        <v>3</v>
      </c>
      <c r="V41" s="133">
        <f>IF(U41="","",VLOOKUP(MAX(U41,0),Rubric!$A$57:$B$59,2,TRUE()))</f>
        <v/>
      </c>
      <c r="W41" s="133" t="n"/>
      <c r="X41" s="133" t="n"/>
      <c r="Y41" s="133">
        <f>IF(OR(W41="",X41=""),"",IF(AND(W41&gt;=Rubric!$B$8,W41&lt;=Rubric!$B$9),IF(Rubric!$B$13=1,(W41-X41*Rubric!$B$12)*Rubric!$B$10,W41*Rubric!$B$10-X41*Rubric!$B$12),W41*Rubric!$B$11))</f>
        <v/>
      </c>
      <c r="Z41" s="133">
        <f>IF($B41="","",IF(AND(W41="",X41=""),7,IF(OR(W41="",X41=""),"",IF(X41&gt;Rubric!$B$17,0,IF(AND(Y41&gt;Rubric!$B$14,X41&lt;Rubric!$B$15),7,IF(Y41&gt;Rubric!$B$16,4,0))))))</f>
        <v/>
      </c>
      <c r="AA41" s="133" t="inlineStr">
        <is>
          <t>Medium – 2–4%</t>
        </is>
      </c>
      <c r="AB41" s="133">
        <f>IF(AA41="","",VLOOKUP(AA41,Rubric!$A$81:$B$83,2,FALSE()))</f>
        <v/>
      </c>
      <c r="AC41" s="133">
        <f>IF(COUNT(V41,Z41,AB41)=0,"",SUM(V41,Z41,AB41))</f>
        <v/>
      </c>
      <c r="AD41" s="133" t="inlineStr">
        <is>
          <t>Partial – needs Book Studio or manual content</t>
        </is>
      </c>
      <c r="AE41" s="133">
        <f>IF(AD41="","",VLOOKUP(AD41,Rubric!$A$87:$B$89,2,FALSE()))</f>
        <v/>
      </c>
      <c r="AF41" s="133" t="inlineStr">
        <is>
          <t>Medium – how-to / educational accuracy</t>
        </is>
      </c>
      <c r="AG41" s="133">
        <f>IF(AF41="","",VLOOKUP(AF41,Rubric!$A$93:$C$96,2,FALSE()))</f>
        <v/>
      </c>
      <c r="AH41" s="133">
        <f>IF(COUNT(AE41,AG41)=0,"",SUM(AE41,AG41))</f>
        <v/>
      </c>
      <c r="AI41" s="133" t="inlineStr">
        <is>
          <t>3–4 cluster titles</t>
        </is>
      </c>
      <c r="AJ41" s="133">
        <f>IF(AI41="","",VLOOKUP(AI41,Rubric!$A$100:$B$102,2,FALSE()))</f>
        <v/>
      </c>
      <c r="AK41" s="133" t="inlineStr">
        <is>
          <t>2 channels with distinct uses</t>
        </is>
      </c>
      <c r="AL41" s="133">
        <f>IF(AK41="","",VLOOKUP(AK41,Rubric!$A$106:$B$108,2,FALSE()))</f>
        <v/>
      </c>
      <c r="AM41" s="133">
        <f>IF(COUNT(AJ41,AL41)=0,"",SUM(AJ41,AL41))</f>
        <v/>
      </c>
      <c r="AN41" s="133">
        <f>IF($B41="","",SUM(L41,T41,AC41,AH41,AM41))</f>
        <v/>
      </c>
      <c r="AO41" s="133" t="n"/>
      <c r="AP41" s="133" t="n"/>
      <c r="AQ41" s="133" t="n"/>
      <c r="AR41" s="133">
        <f>IF(OR(W41="",X41=""),"",IF(OR(X41&gt;Rubric!$B$19,Y41&lt;Rubric!$B$18),"VETO",""))</f>
        <v/>
      </c>
      <c r="AS41" s="133">
        <f>IF(AF41="","",IF(VLOOKUP(AF41,Rubric!$A$93:$C$96,3,FALSE())="Yes","VETO",""))</f>
        <v/>
      </c>
      <c r="AT41" s="133">
        <f>IF($B41="","",IF(OR(AO41="Yes",AP41="Yes",AQ41="Yes",AR41="VETO",AS41="VETO"),"VETO",""))</f>
        <v/>
      </c>
      <c r="AU41" s="133">
        <f>IF($B41="","",12-COUNTA(F41,H41,J41,M41,O41,Q41,U41,AA41,AD41,AF41,AI41,AK41)+IF(AND(OR(W41="",X41=""),NOT(AND(W41="",X41=""))),1,0))</f>
        <v/>
      </c>
      <c r="AV41" s="133">
        <f>IF($B41="","",IF(AT41="VETO","Rejected – veto",IF(AU41&gt;0,"Incomplete ("&amp;AU41&amp;" missing)",IF(AN41&gt;=Rubric!$B$5,"Tier 1 – Approved",IF(AN41&gt;=Rubric!$B$6,"Tier 2 – Watchlist","Tier 3 – Rejected")))))</f>
        <v/>
      </c>
      <c r="AW41" s="133">
        <f>IF(OR($B41="",AT41="VETO"),"",IF(AU41&gt;0,"",1+SUMPRODUCT(($B$6:$B$60&lt;&gt;"")*($AT$6:$AT$60&lt;&gt;"VETO")*($AU$6:$AU$60=0)*($AN$6:$AN$60&gt;AN41))))</f>
        <v/>
      </c>
      <c r="AX41" s="133" t="n"/>
      <c r="AY41" s="133" t="inlineStr">
        <is>
          <t>BSR top3 ~300000, reviews top10 ~20, generic 28/48. Intent Medium – topic with some buying signal, freshness No – no recent entrants, defect Some – 1–2 recurring complaints. Based on Amazon search sampling Oct 2026, subagent research, and category benchmarks.</t>
        </is>
      </c>
      <c r="AZ41" s="133" t="inlineStr">
        <is>
          <t>Amazon.com search Oct 7 2026; subagent BSR sampling; category BSR proxies; policy: KDP low-content guidelines.</t>
        </is>
      </c>
    </row>
    <row r="42">
      <c r="A42" s="133">
        <f>IF($B42="","",ROW()-5)</f>
        <v/>
      </c>
      <c r="B42" s="133" t="inlineStr">
        <is>
          <t>Practical Life Skills for Teens Workbook</t>
        </is>
      </c>
      <c r="C42" s="133" t="inlineStr">
        <is>
          <t>Teen life skills / independent living</t>
        </is>
      </c>
      <c r="D42" s="133" t="inlineStr">
        <is>
          <t>Medium-content</t>
        </is>
      </c>
      <c r="E42" s="227" t="n">
        <v>46302</v>
      </c>
      <c r="F42" s="133" t="n">
        <v>150000</v>
      </c>
      <c r="G42" s="133">
        <f>IF(F42="","",VLOOKUP(F42,Rubric!$A$37:$B$40,2,TRUE()))</f>
        <v/>
      </c>
      <c r="H42" s="133" t="inlineStr">
        <is>
          <t>High – specific problem + buying word</t>
        </is>
      </c>
      <c r="I42" s="133">
        <f>IF(H42="","",VLOOKUP(H42,Rubric!$A$63:$B$65,2,FALSE()))</f>
        <v/>
      </c>
      <c r="J42" s="133" t="inlineStr">
        <is>
          <t>Partial – new entrant but weak signals</t>
        </is>
      </c>
      <c r="K42" s="133">
        <f>IF(J42="","",VLOOKUP(J42,Rubric!$A$69:$B$71,2,FALSE()))</f>
        <v/>
      </c>
      <c r="L42" s="133">
        <f>IF(COUNT(G42,I42,K42)=0,"",SUM(G42,I42,K42))</f>
        <v/>
      </c>
      <c r="M42" s="133" t="n">
        <v>110</v>
      </c>
      <c r="N42" s="133">
        <f>IF(M42="","",VLOOKUP(M42,Rubric!$A$44:$B$47,2,TRUE()))</f>
        <v/>
      </c>
      <c r="O42" s="133" t="inlineStr">
        <is>
          <t>Some – 1–2 recurring complaints</t>
        </is>
      </c>
      <c r="P42" s="133">
        <f>IF(O42="","",VLOOKUP(O42,Rubric!$A$75:$B$77,2,FALSE()))</f>
        <v/>
      </c>
      <c r="Q42" s="133" t="n">
        <v>20</v>
      </c>
      <c r="R42" s="133">
        <f>IF(Q42="","",Q42/Rubric!$B$7)</f>
        <v/>
      </c>
      <c r="S42" s="133">
        <f>IF(R42="","",VLOOKUP(R42,Rubric!$A$51:$B$53,2,TRUE()))</f>
        <v/>
      </c>
      <c r="T42" s="133">
        <f>IF(COUNT(N42,P42,S42)=0,"",SUM(N42,P42,S42))</f>
        <v/>
      </c>
      <c r="U42" s="133" t="n">
        <v>3.4</v>
      </c>
      <c r="V42" s="133">
        <f>IF(U42="","",VLOOKUP(MAX(U42,0),Rubric!$A$57:$B$59,2,TRUE()))</f>
        <v/>
      </c>
      <c r="W42" s="133" t="n"/>
      <c r="X42" s="133" t="n"/>
      <c r="Y42" s="133">
        <f>IF(OR(W42="",X42=""),"",IF(AND(W42&gt;=Rubric!$B$8,W42&lt;=Rubric!$B$9),IF(Rubric!$B$13=1,(W42-X42*Rubric!$B$12)*Rubric!$B$10,W42*Rubric!$B$10-X42*Rubric!$B$12),W42*Rubric!$B$11))</f>
        <v/>
      </c>
      <c r="Z42" s="133">
        <f>IF($B42="","",IF(AND(W42="",X42=""),7,IF(OR(W42="",X42=""),"",IF(X42&gt;Rubric!$B$17,0,IF(AND(Y42&gt;Rubric!$B$14,X42&lt;Rubric!$B$15),7,IF(Y42&gt;Rubric!$B$16,4,0))))))</f>
        <v/>
      </c>
      <c r="AA42" s="133" t="inlineStr">
        <is>
          <t>Low – utility log or workbook, &lt;2%</t>
        </is>
      </c>
      <c r="AB42" s="133">
        <f>IF(AA42="","",VLOOKUP(AA42,Rubric!$A$81:$B$83,2,FALSE()))</f>
        <v/>
      </c>
      <c r="AC42" s="133">
        <f>IF(COUNT(V42,Z42,AB42)=0,"",SUM(V42,Z42,AB42))</f>
        <v/>
      </c>
      <c r="AD42" s="133" t="inlineStr">
        <is>
          <t>Partial – needs Book Studio or manual content</t>
        </is>
      </c>
      <c r="AE42" s="133">
        <f>IF(AD42="","",VLOOKUP(AD42,Rubric!$A$87:$B$89,2,FALSE()))</f>
        <v/>
      </c>
      <c r="AF42" s="133" t="inlineStr">
        <is>
          <t>Medium – how-to / educational accuracy</t>
        </is>
      </c>
      <c r="AG42" s="133">
        <f>IF(AF42="","",VLOOKUP(AF42,Rubric!$A$93:$C$96,2,FALSE()))</f>
        <v/>
      </c>
      <c r="AH42" s="133">
        <f>IF(COUNT(AE42,AG42)=0,"",SUM(AE42,AG42))</f>
        <v/>
      </c>
      <c r="AI42" s="133" t="inlineStr">
        <is>
          <t>3–4 cluster titles</t>
        </is>
      </c>
      <c r="AJ42" s="133">
        <f>IF(AI42="","",VLOOKUP(AI42,Rubric!$A$100:$B$102,2,FALSE()))</f>
        <v/>
      </c>
      <c r="AK42" s="133" t="inlineStr">
        <is>
          <t>2 channels with distinct uses</t>
        </is>
      </c>
      <c r="AL42" s="133">
        <f>IF(AK42="","",VLOOKUP(AK42,Rubric!$A$106:$B$108,2,FALSE()))</f>
        <v/>
      </c>
      <c r="AM42" s="133">
        <f>IF(COUNT(AJ42,AL42)=0,"",SUM(AJ42,AL42))</f>
        <v/>
      </c>
      <c r="AN42" s="133">
        <f>IF($B42="","",SUM(L42,T42,AC42,AH42,AM42))</f>
        <v/>
      </c>
      <c r="AO42" s="133" t="n"/>
      <c r="AP42" s="133" t="n"/>
      <c r="AQ42" s="133" t="n"/>
      <c r="AR42" s="133">
        <f>IF(OR(W42="",X42=""),"",IF(OR(X42&gt;Rubric!$B$19,Y42&lt;Rubric!$B$18),"VETO",""))</f>
        <v/>
      </c>
      <c r="AS42" s="133">
        <f>IF(AF42="","",IF(VLOOKUP(AF42,Rubric!$A$93:$C$96,3,FALSE())="Yes","VETO",""))</f>
        <v/>
      </c>
      <c r="AT42" s="133">
        <f>IF($B42="","",IF(OR(AO42="Yes",AP42="Yes",AQ42="Yes",AR42="VETO",AS42="VETO"),"VETO",""))</f>
        <v/>
      </c>
      <c r="AU42" s="133">
        <f>IF($B42="","",12-COUNTA(F42,H42,J42,M42,O42,Q42,U42,AA42,AD42,AF42,AI42,AK42)+IF(AND(OR(W42="",X42=""),NOT(AND(W42="",X42=""))),1,0))</f>
        <v/>
      </c>
      <c r="AV42" s="133">
        <f>IF($B42="","",IF(AT42="VETO","Rejected – veto",IF(AU42&gt;0,"Incomplete ("&amp;AU42&amp;" missing)",IF(AN42&gt;=Rubric!$B$5,"Tier 1 – Approved",IF(AN42&gt;=Rubric!$B$6,"Tier 2 – Watchlist","Tier 3 – Rejected")))))</f>
        <v/>
      </c>
      <c r="AW42" s="133">
        <f>IF(OR($B42="",AT42="VETO"),"",IF(AU42&gt;0,"",1+SUMPRODUCT(($B$6:$B$60&lt;&gt;"")*($AT$6:$AT$60&lt;&gt;"VETO")*($AU$6:$AU$60=0)*($AN$6:$AN$60&gt;AN42))))</f>
        <v/>
      </c>
      <c r="AX42" s="133" t="n"/>
      <c r="AY42" s="133" t="inlineStr">
        <is>
          <t>BSR top3 ~150000, reviews top10 ~110, generic 20/48. Intent High – specific problem + buying word, freshness Partial – new entrant but weak signals, defect Some – 1–2 recurring complaints. Based on Amazon search sampling Oct 2026, subagent research, and category benchmarks.</t>
        </is>
      </c>
      <c r="AZ42" s="133" t="inlineStr">
        <is>
          <t>Amazon.com search Oct 7 2026; subagent BSR sampling; category BSR proxies; policy: KDP low-content guidelines.</t>
        </is>
      </c>
    </row>
    <row r="43">
      <c r="A43" s="133">
        <f>IF($B43="","",ROW()-5)</f>
        <v/>
      </c>
      <c r="B43" s="133" t="inlineStr">
        <is>
          <t>Digital Skills Practice Workbook: File Management &amp; Spreadsheet Basics</t>
        </is>
      </c>
      <c r="C43" s="133" t="inlineStr">
        <is>
          <t>Digital literacy / workplace basics</t>
        </is>
      </c>
      <c r="D43" s="133" t="inlineStr">
        <is>
          <t>Medium-content</t>
        </is>
      </c>
      <c r="E43" s="227" t="n">
        <v>46302</v>
      </c>
      <c r="F43" s="133" t="n">
        <v>500000</v>
      </c>
      <c r="G43" s="133">
        <f>IF(F43="","",VLOOKUP(F43,Rubric!$A$37:$B$40,2,TRUE()))</f>
        <v/>
      </c>
      <c r="H43" s="133" t="inlineStr">
        <is>
          <t>Medium – topic with some buying signal</t>
        </is>
      </c>
      <c r="I43" s="133">
        <f>IF(H43="","",VLOOKUP(H43,Rubric!$A$63:$B$65,2,FALSE()))</f>
        <v/>
      </c>
      <c r="J43" s="133" t="inlineStr">
        <is>
          <t>No – no recent entrants</t>
        </is>
      </c>
      <c r="K43" s="133">
        <f>IF(J43="","",VLOOKUP(J43,Rubric!$A$69:$B$71,2,FALSE()))</f>
        <v/>
      </c>
      <c r="L43" s="133">
        <f>IF(COUNT(G43,I43,K43)=0,"",SUM(G43,I43,K43))</f>
        <v/>
      </c>
      <c r="M43" s="133" t="n">
        <v>30</v>
      </c>
      <c r="N43" s="133">
        <f>IF(M43="","",VLOOKUP(M43,Rubric!$A$44:$B$47,2,TRUE()))</f>
        <v/>
      </c>
      <c r="O43" s="133" t="inlineStr">
        <is>
          <t>Some – 1–2 recurring complaints</t>
        </is>
      </c>
      <c r="P43" s="133">
        <f>IF(O43="","",VLOOKUP(O43,Rubric!$A$75:$B$77,2,FALSE()))</f>
        <v/>
      </c>
      <c r="Q43" s="133" t="n">
        <v>24</v>
      </c>
      <c r="R43" s="133">
        <f>IF(Q43="","",Q43/Rubric!$B$7)</f>
        <v/>
      </c>
      <c r="S43" s="133">
        <f>IF(R43="","",VLOOKUP(R43,Rubric!$A$51:$B$53,2,TRUE()))</f>
        <v/>
      </c>
      <c r="T43" s="133">
        <f>IF(COUNT(N43,P43,S43)=0,"",SUM(N43,P43,S43))</f>
        <v/>
      </c>
      <c r="U43" s="133" t="n">
        <v>3</v>
      </c>
      <c r="V43" s="133">
        <f>IF(U43="","",VLOOKUP(MAX(U43,0),Rubric!$A$57:$B$59,2,TRUE()))</f>
        <v/>
      </c>
      <c r="W43" s="133" t="n"/>
      <c r="X43" s="133" t="n"/>
      <c r="Y43" s="133">
        <f>IF(OR(W43="",X43=""),"",IF(AND(W43&gt;=Rubric!$B$8,W43&lt;=Rubric!$B$9),IF(Rubric!$B$13=1,(W43-X43*Rubric!$B$12)*Rubric!$B$10,W43*Rubric!$B$10-X43*Rubric!$B$12),W43*Rubric!$B$11))</f>
        <v/>
      </c>
      <c r="Z43" s="133">
        <f>IF($B43="","",IF(AND(W43="",X43=""),7,IF(OR(W43="",X43=""),"",IF(X43&gt;Rubric!$B$17,0,IF(AND(Y43&gt;Rubric!$B$14,X43&lt;Rubric!$B$15),7,IF(Y43&gt;Rubric!$B$16,4,0))))))</f>
        <v/>
      </c>
      <c r="AA43" s="133" t="inlineStr">
        <is>
          <t>Low – utility log or workbook, &lt;2%</t>
        </is>
      </c>
      <c r="AB43" s="133">
        <f>IF(AA43="","",VLOOKUP(AA43,Rubric!$A$81:$B$83,2,FALSE()))</f>
        <v/>
      </c>
      <c r="AC43" s="133">
        <f>IF(COUNT(V43,Z43,AB43)=0,"",SUM(V43,Z43,AB43))</f>
        <v/>
      </c>
      <c r="AD43" s="133" t="inlineStr">
        <is>
          <t>Partial – needs Book Studio or manual content</t>
        </is>
      </c>
      <c r="AE43" s="133">
        <f>IF(AD43="","",VLOOKUP(AD43,Rubric!$A$87:$B$89,2,FALSE()))</f>
        <v/>
      </c>
      <c r="AF43" s="133" t="inlineStr">
        <is>
          <t>Medium – how-to / educational accuracy</t>
        </is>
      </c>
      <c r="AG43" s="133">
        <f>IF(AF43="","",VLOOKUP(AF43,Rubric!$A$93:$C$96,2,FALSE()))</f>
        <v/>
      </c>
      <c r="AH43" s="133">
        <f>IF(COUNT(AE43,AG43)=0,"",SUM(AE43,AG43))</f>
        <v/>
      </c>
      <c r="AI43" s="133" t="inlineStr">
        <is>
          <t>2–3 cluster titles</t>
        </is>
      </c>
      <c r="AJ43" s="133">
        <f>IF(AI43="","",VLOOKUP(AI43,Rubric!$A$100:$B$102,2,FALSE()))</f>
        <v/>
      </c>
      <c r="AK43" s="133" t="inlineStr">
        <is>
          <t>2 channels with distinct uses</t>
        </is>
      </c>
      <c r="AL43" s="133">
        <f>IF(AK43="","",VLOOKUP(AK43,Rubric!$A$106:$B$108,2,FALSE()))</f>
        <v/>
      </c>
      <c r="AM43" s="133">
        <f>IF(COUNT(AJ43,AL43)=0,"",SUM(AJ43,AL43))</f>
        <v/>
      </c>
      <c r="AN43" s="133">
        <f>IF($B43="","",SUM(L43,T43,AC43,AH43,AM43))</f>
        <v/>
      </c>
      <c r="AO43" s="133" t="n"/>
      <c r="AP43" s="133" t="n"/>
      <c r="AQ43" s="133" t="n"/>
      <c r="AR43" s="133">
        <f>IF(OR(W43="",X43=""),"",IF(OR(X43&gt;Rubric!$B$19,Y43&lt;Rubric!$B$18),"VETO",""))</f>
        <v/>
      </c>
      <c r="AS43" s="133">
        <f>IF(AF43="","",IF(VLOOKUP(AF43,Rubric!$A$93:$C$96,3,FALSE())="Yes","VETO",""))</f>
        <v/>
      </c>
      <c r="AT43" s="133">
        <f>IF($B43="","",IF(OR(AO43="Yes",AP43="Yes",AQ43="Yes",AR43="VETO",AS43="VETO"),"VETO",""))</f>
        <v/>
      </c>
      <c r="AU43" s="133">
        <f>IF($B43="","",12-COUNTA(F43,H43,J43,M43,O43,Q43,U43,AA43,AD43,AF43,AI43,AK43)+IF(AND(OR(W43="",X43=""),NOT(AND(W43="",X43=""))),1,0))</f>
        <v/>
      </c>
      <c r="AV43" s="133">
        <f>IF($B43="","",IF(AT43="VETO","Rejected – veto",IF(AU43&gt;0,"Incomplete ("&amp;AU43&amp;" missing)",IF(AN43&gt;=Rubric!$B$5,"Tier 1 – Approved",IF(AN43&gt;=Rubric!$B$6,"Tier 2 – Watchlist","Tier 3 – Rejected")))))</f>
        <v/>
      </c>
      <c r="AW43" s="133">
        <f>IF(OR($B43="",AT43="VETO"),"",IF(AU43&gt;0,"",1+SUMPRODUCT(($B$6:$B$60&lt;&gt;"")*($AT$6:$AT$60&lt;&gt;"VETO")*($AU$6:$AU$60=0)*($AN$6:$AN$60&gt;AN43))))</f>
        <v/>
      </c>
      <c r="AX43" s="133" t="n"/>
      <c r="AY43" s="133" t="inlineStr">
        <is>
          <t>BSR top3 ~500000, reviews top10 ~30, generic 24/48. Intent Medium – topic with some buying signal, freshness No – no recent entrants, defect Some – 1–2 recurring complaints. Based on Amazon search sampling Oct 2026, subagent research, and category benchmarks.</t>
        </is>
      </c>
      <c r="AZ43" s="133" t="inlineStr">
        <is>
          <t>Amazon.com search Oct 7 2026; subagent BSR sampling; category BSR proxies; policy: KDP low-content guidelines.</t>
        </is>
      </c>
    </row>
    <row r="44">
      <c r="A44" s="133">
        <f>IF($B44="","",ROW()-5)</f>
        <v/>
      </c>
      <c r="B44" s="133" t="inlineStr">
        <is>
          <t>Creative Writing &amp; Story-Building Workbook for Teens</t>
        </is>
      </c>
      <c r="C44" s="133" t="inlineStr">
        <is>
          <t>Creative writing / teen learning</t>
        </is>
      </c>
      <c r="D44" s="133" t="inlineStr">
        <is>
          <t>Medium-content</t>
        </is>
      </c>
      <c r="E44" s="227" t="n">
        <v>46302</v>
      </c>
      <c r="F44" s="133" t="n">
        <v>400000</v>
      </c>
      <c r="G44" s="133">
        <f>IF(F44="","",VLOOKUP(F44,Rubric!$A$37:$B$40,2,TRUE()))</f>
        <v/>
      </c>
      <c r="H44" s="133" t="inlineStr">
        <is>
          <t>Medium – topic with some buying signal</t>
        </is>
      </c>
      <c r="I44" s="133">
        <f>IF(H44="","",VLOOKUP(H44,Rubric!$A$63:$B$65,2,FALSE()))</f>
        <v/>
      </c>
      <c r="J44" s="133" t="inlineStr">
        <is>
          <t>No – no recent entrants</t>
        </is>
      </c>
      <c r="K44" s="133">
        <f>IF(J44="","",VLOOKUP(J44,Rubric!$A$69:$B$71,2,FALSE()))</f>
        <v/>
      </c>
      <c r="L44" s="133">
        <f>IF(COUNT(G44,I44,K44)=0,"",SUM(G44,I44,K44))</f>
        <v/>
      </c>
      <c r="M44" s="133" t="n">
        <v>40</v>
      </c>
      <c r="N44" s="133">
        <f>IF(M44="","",VLOOKUP(M44,Rubric!$A$44:$B$47,2,TRUE()))</f>
        <v/>
      </c>
      <c r="O44" s="133" t="inlineStr">
        <is>
          <t>Some – 1–2 recurring complaints</t>
        </is>
      </c>
      <c r="P44" s="133">
        <f>IF(O44="","",VLOOKUP(O44,Rubric!$A$75:$B$77,2,FALSE()))</f>
        <v/>
      </c>
      <c r="Q44" s="133" t="n">
        <v>22</v>
      </c>
      <c r="R44" s="133">
        <f>IF(Q44="","",Q44/Rubric!$B$7)</f>
        <v/>
      </c>
      <c r="S44" s="133">
        <f>IF(R44="","",VLOOKUP(R44,Rubric!$A$51:$B$53,2,TRUE()))</f>
        <v/>
      </c>
      <c r="T44" s="133">
        <f>IF(COUNT(N44,P44,S44)=0,"",SUM(N44,P44,S44))</f>
        <v/>
      </c>
      <c r="U44" s="133" t="n">
        <v>3.1</v>
      </c>
      <c r="V44" s="133">
        <f>IF(U44="","",VLOOKUP(MAX(U44,0),Rubric!$A$57:$B$59,2,TRUE()))</f>
        <v/>
      </c>
      <c r="W44" s="133" t="n"/>
      <c r="X44" s="133" t="n"/>
      <c r="Y44" s="133">
        <f>IF(OR(W44="",X44=""),"",IF(AND(W44&gt;=Rubric!$B$8,W44&lt;=Rubric!$B$9),IF(Rubric!$B$13=1,(W44-X44*Rubric!$B$12)*Rubric!$B$10,W44*Rubric!$B$10-X44*Rubric!$B$12),W44*Rubric!$B$11))</f>
        <v/>
      </c>
      <c r="Z44" s="133">
        <f>IF($B44="","",IF(AND(W44="",X44=""),7,IF(OR(W44="",X44=""),"",IF(X44&gt;Rubric!$B$17,0,IF(AND(Y44&gt;Rubric!$B$14,X44&lt;Rubric!$B$15),7,IF(Y44&gt;Rubric!$B$16,4,0))))))</f>
        <v/>
      </c>
      <c r="AA44" s="133" t="inlineStr">
        <is>
          <t>Medium – 2–4%</t>
        </is>
      </c>
      <c r="AB44" s="133">
        <f>IF(AA44="","",VLOOKUP(AA44,Rubric!$A$81:$B$83,2,FALSE()))</f>
        <v/>
      </c>
      <c r="AC44" s="133">
        <f>IF(COUNT(V44,Z44,AB44)=0,"",SUM(V44,Z44,AB44))</f>
        <v/>
      </c>
      <c r="AD44" s="133" t="inlineStr">
        <is>
          <t>Partial – needs Book Studio or manual content</t>
        </is>
      </c>
      <c r="AE44" s="133">
        <f>IF(AD44="","",VLOOKUP(AD44,Rubric!$A$87:$B$89,2,FALSE()))</f>
        <v/>
      </c>
      <c r="AF44" s="133" t="inlineStr">
        <is>
          <t>Medium – how-to / educational accuracy</t>
        </is>
      </c>
      <c r="AG44" s="133">
        <f>IF(AF44="","",VLOOKUP(AF44,Rubric!$A$93:$C$96,2,FALSE()))</f>
        <v/>
      </c>
      <c r="AH44" s="133">
        <f>IF(COUNT(AE44,AG44)=0,"",SUM(AE44,AG44))</f>
        <v/>
      </c>
      <c r="AI44" s="133" t="inlineStr">
        <is>
          <t>2–3 cluster titles</t>
        </is>
      </c>
      <c r="AJ44" s="133">
        <f>IF(AI44="","",VLOOKUP(AI44,Rubric!$A$100:$B$102,2,FALSE()))</f>
        <v/>
      </c>
      <c r="AK44" s="133" t="inlineStr">
        <is>
          <t>1 channel focus</t>
        </is>
      </c>
      <c r="AL44" s="133">
        <f>IF(AK44="","",VLOOKUP(AK44,Rubric!$A$106:$B$108,2,FALSE()))</f>
        <v/>
      </c>
      <c r="AM44" s="133">
        <f>IF(COUNT(AJ44,AL44)=0,"",SUM(AJ44,AL44))</f>
        <v/>
      </c>
      <c r="AN44" s="133">
        <f>IF($B44="","",SUM(L44,T44,AC44,AH44,AM44))</f>
        <v/>
      </c>
      <c r="AO44" s="133" t="n"/>
      <c r="AP44" s="133" t="n"/>
      <c r="AQ44" s="133" t="n"/>
      <c r="AR44" s="133">
        <f>IF(OR(W44="",X44=""),"",IF(OR(X44&gt;Rubric!$B$19,Y44&lt;Rubric!$B$18),"VETO",""))</f>
        <v/>
      </c>
      <c r="AS44" s="133">
        <f>IF(AF44="","",IF(VLOOKUP(AF44,Rubric!$A$93:$C$96,3,FALSE())="Yes","VETO",""))</f>
        <v/>
      </c>
      <c r="AT44" s="133">
        <f>IF($B44="","",IF(OR(AO44="Yes",AP44="Yes",AQ44="Yes",AR44="VETO",AS44="VETO"),"VETO",""))</f>
        <v/>
      </c>
      <c r="AU44" s="133">
        <f>IF($B44="","",12-COUNTA(F44,H44,J44,M44,O44,Q44,U44,AA44,AD44,AF44,AI44,AK44)+IF(AND(OR(W44="",X44=""),NOT(AND(W44="",X44=""))),1,0))</f>
        <v/>
      </c>
      <c r="AV44" s="133">
        <f>IF($B44="","",IF(AT44="VETO","Rejected – veto",IF(AU44&gt;0,"Incomplete ("&amp;AU44&amp;" missing)",IF(AN44&gt;=Rubric!$B$5,"Tier 1 – Approved",IF(AN44&gt;=Rubric!$B$6,"Tier 2 – Watchlist","Tier 3 – Rejected")))))</f>
        <v/>
      </c>
      <c r="AW44" s="133">
        <f>IF(OR($B44="",AT44="VETO"),"",IF(AU44&gt;0,"",1+SUMPRODUCT(($B$6:$B$60&lt;&gt;"")*($AT$6:$AT$60&lt;&gt;"VETO")*($AU$6:$AU$60=0)*($AN$6:$AN$60&gt;AN44))))</f>
        <v/>
      </c>
      <c r="AX44" s="133" t="n"/>
      <c r="AY44" s="133" t="inlineStr">
        <is>
          <t>BSR top3 ~400000, reviews top10 ~40, generic 22/48. Intent Medium – topic with some buying signal, freshness No – no recent entrants, defect Some – 1–2 recurring complaints. Based on Amazon search sampling Oct 2026, subagent research, and category benchmarks.</t>
        </is>
      </c>
      <c r="AZ44" s="133" t="inlineStr">
        <is>
          <t>Amazon.com search Oct 7 2026; subagent BSR sampling; category BSR proxies; policy: KDP low-content guidelines.</t>
        </is>
      </c>
    </row>
    <row r="45">
      <c r="A45" s="133">
        <f>IF($B45="","",ROW()-5)</f>
        <v/>
      </c>
      <c r="B45" s="133" t="inlineStr">
        <is>
          <t>Homeschool Science Observation Workbook</t>
        </is>
      </c>
      <c r="C45" s="133" t="inlineStr">
        <is>
          <t>Homeschool science / observation</t>
        </is>
      </c>
      <c r="D45" s="133" t="inlineStr">
        <is>
          <t>Medium-content</t>
        </is>
      </c>
      <c r="E45" s="227" t="n">
        <v>46302</v>
      </c>
      <c r="F45" s="133" t="n">
        <v>350000</v>
      </c>
      <c r="G45" s="133">
        <f>IF(F45="","",VLOOKUP(F45,Rubric!$A$37:$B$40,2,TRUE()))</f>
        <v/>
      </c>
      <c r="H45" s="133" t="inlineStr">
        <is>
          <t>Medium – topic with some buying signal</t>
        </is>
      </c>
      <c r="I45" s="133">
        <f>IF(H45="","",VLOOKUP(H45,Rubric!$A$63:$B$65,2,FALSE()))</f>
        <v/>
      </c>
      <c r="J45" s="133" t="inlineStr">
        <is>
          <t>No – no recent entrants</t>
        </is>
      </c>
      <c r="K45" s="133">
        <f>IF(J45="","",VLOOKUP(J45,Rubric!$A$69:$B$71,2,FALSE()))</f>
        <v/>
      </c>
      <c r="L45" s="133">
        <f>IF(COUNT(G45,I45,K45)=0,"",SUM(G45,I45,K45))</f>
        <v/>
      </c>
      <c r="M45" s="133" t="n">
        <v>35</v>
      </c>
      <c r="N45" s="133">
        <f>IF(M45="","",VLOOKUP(M45,Rubric!$A$44:$B$47,2,TRUE()))</f>
        <v/>
      </c>
      <c r="O45" s="133" t="inlineStr">
        <is>
          <t>Some – 1–2 recurring complaints</t>
        </is>
      </c>
      <c r="P45" s="133">
        <f>IF(O45="","",VLOOKUP(O45,Rubric!$A$75:$B$77,2,FALSE()))</f>
        <v/>
      </c>
      <c r="Q45" s="133" t="n">
        <v>24</v>
      </c>
      <c r="R45" s="133">
        <f>IF(Q45="","",Q45/Rubric!$B$7)</f>
        <v/>
      </c>
      <c r="S45" s="133">
        <f>IF(R45="","",VLOOKUP(R45,Rubric!$A$51:$B$53,2,TRUE()))</f>
        <v/>
      </c>
      <c r="T45" s="133">
        <f>IF(COUNT(N45,P45,S45)=0,"",SUM(N45,P45,S45))</f>
        <v/>
      </c>
      <c r="U45" s="133" t="n">
        <v>3</v>
      </c>
      <c r="V45" s="133">
        <f>IF(U45="","",VLOOKUP(MAX(U45,0),Rubric!$A$57:$B$59,2,TRUE()))</f>
        <v/>
      </c>
      <c r="W45" s="133" t="n"/>
      <c r="X45" s="133" t="n"/>
      <c r="Y45" s="133">
        <f>IF(OR(W45="",X45=""),"",IF(AND(W45&gt;=Rubric!$B$8,W45&lt;=Rubric!$B$9),IF(Rubric!$B$13=1,(W45-X45*Rubric!$B$12)*Rubric!$B$10,W45*Rubric!$B$10-X45*Rubric!$B$12),W45*Rubric!$B$11))</f>
        <v/>
      </c>
      <c r="Z45" s="133">
        <f>IF($B45="","",IF(AND(W45="",X45=""),7,IF(OR(W45="",X45=""),"",IF(X45&gt;Rubric!$B$17,0,IF(AND(Y45&gt;Rubric!$B$14,X45&lt;Rubric!$B$15),7,IF(Y45&gt;Rubric!$B$16,4,0))))))</f>
        <v/>
      </c>
      <c r="AA45" s="133" t="inlineStr">
        <is>
          <t>Low – utility log or workbook, &lt;2%</t>
        </is>
      </c>
      <c r="AB45" s="133">
        <f>IF(AA45="","",VLOOKUP(AA45,Rubric!$A$81:$B$83,2,FALSE()))</f>
        <v/>
      </c>
      <c r="AC45" s="133">
        <f>IF(COUNT(V45,Z45,AB45)=0,"",SUM(V45,Z45,AB45))</f>
        <v/>
      </c>
      <c r="AD45" s="133" t="inlineStr">
        <is>
          <t>Partial – needs Book Studio or manual content</t>
        </is>
      </c>
      <c r="AE45" s="133">
        <f>IF(AD45="","",VLOOKUP(AD45,Rubric!$A$87:$B$89,2,FALSE()))</f>
        <v/>
      </c>
      <c r="AF45" s="133" t="inlineStr">
        <is>
          <t>Medium – how-to / educational accuracy</t>
        </is>
      </c>
      <c r="AG45" s="133">
        <f>IF(AF45="","",VLOOKUP(AF45,Rubric!$A$93:$C$96,2,FALSE()))</f>
        <v/>
      </c>
      <c r="AH45" s="133">
        <f>IF(COUNT(AE45,AG45)=0,"",SUM(AE45,AG45))</f>
        <v/>
      </c>
      <c r="AI45" s="133" t="inlineStr">
        <is>
          <t>2–3 cluster titles</t>
        </is>
      </c>
      <c r="AJ45" s="133">
        <f>IF(AI45="","",VLOOKUP(AI45,Rubric!$A$100:$B$102,2,FALSE()))</f>
        <v/>
      </c>
      <c r="AK45" s="133" t="inlineStr">
        <is>
          <t>2 channels with distinct uses</t>
        </is>
      </c>
      <c r="AL45" s="133">
        <f>IF(AK45="","",VLOOKUP(AK45,Rubric!$A$106:$B$108,2,FALSE()))</f>
        <v/>
      </c>
      <c r="AM45" s="133">
        <f>IF(COUNT(AJ45,AL45)=0,"",SUM(AJ45,AL45))</f>
        <v/>
      </c>
      <c r="AN45" s="133">
        <f>IF($B45="","",SUM(L45,T45,AC45,AH45,AM45))</f>
        <v/>
      </c>
      <c r="AO45" s="133" t="n"/>
      <c r="AP45" s="133" t="n"/>
      <c r="AQ45" s="133" t="n"/>
      <c r="AR45" s="133">
        <f>IF(OR(W45="",X45=""),"",IF(OR(X45&gt;Rubric!$B$19,Y45&lt;Rubric!$B$18),"VETO",""))</f>
        <v/>
      </c>
      <c r="AS45" s="133">
        <f>IF(AF45="","",IF(VLOOKUP(AF45,Rubric!$A$93:$C$96,3,FALSE())="Yes","VETO",""))</f>
        <v/>
      </c>
      <c r="AT45" s="133">
        <f>IF($B45="","",IF(OR(AO45="Yes",AP45="Yes",AQ45="Yes",AR45="VETO",AS45="VETO"),"VETO",""))</f>
        <v/>
      </c>
      <c r="AU45" s="133">
        <f>IF($B45="","",12-COUNTA(F45,H45,J45,M45,O45,Q45,U45,AA45,AD45,AF45,AI45,AK45)+IF(AND(OR(W45="",X45=""),NOT(AND(W45="",X45=""))),1,0))</f>
        <v/>
      </c>
      <c r="AV45" s="133">
        <f>IF($B45="","",IF(AT45="VETO","Rejected – veto",IF(AU45&gt;0,"Incomplete ("&amp;AU45&amp;" missing)",IF(AN45&gt;=Rubric!$B$5,"Tier 1 – Approved",IF(AN45&gt;=Rubric!$B$6,"Tier 2 – Watchlist","Tier 3 – Rejected")))))</f>
        <v/>
      </c>
      <c r="AW45" s="133">
        <f>IF(OR($B45="",AT45="VETO"),"",IF(AU45&gt;0,"",1+SUMPRODUCT(($B$6:$B$60&lt;&gt;"")*($AT$6:$AT$60&lt;&gt;"VETO")*($AU$6:$AU$60=0)*($AN$6:$AN$60&gt;AN45))))</f>
        <v/>
      </c>
      <c r="AX45" s="133" t="n"/>
      <c r="AY45" s="133" t="inlineStr">
        <is>
          <t>BSR top3 ~350000, reviews top10 ~35, generic 24/48. Intent Medium – topic with some buying signal, freshness No – no recent entrants, defect Some – 1–2 recurring complaints. Based on Amazon search sampling Oct 2026, subagent research, and category benchmarks.</t>
        </is>
      </c>
      <c r="AZ45" s="133" t="inlineStr">
        <is>
          <t>Amazon.com search Oct 7 2026; subagent BSR sampling; category BSR proxies; policy: KDP low-content guidelines.</t>
        </is>
      </c>
    </row>
    <row r="46">
      <c r="A46" s="133">
        <f>IF($B46="","",ROW()-5)</f>
        <v/>
      </c>
      <c r="B46" s="133" t="inlineStr">
        <is>
          <t>Beginner Woodworking Skills &amp; Project Planning Workbook</t>
        </is>
      </c>
      <c r="C46" s="133" t="inlineStr">
        <is>
          <t>Woodworking / maker education</t>
        </is>
      </c>
      <c r="D46" s="133" t="inlineStr">
        <is>
          <t>Medium-content</t>
        </is>
      </c>
      <c r="E46" s="227" t="n">
        <v>46302</v>
      </c>
      <c r="F46" s="133" t="n">
        <v>450000</v>
      </c>
      <c r="G46" s="133">
        <f>IF(F46="","",VLOOKUP(F46,Rubric!$A$37:$B$40,2,TRUE()))</f>
        <v/>
      </c>
      <c r="H46" s="133" t="inlineStr">
        <is>
          <t>Medium – topic with some buying signal</t>
        </is>
      </c>
      <c r="I46" s="133">
        <f>IF(H46="","",VLOOKUP(H46,Rubric!$A$63:$B$65,2,FALSE()))</f>
        <v/>
      </c>
      <c r="J46" s="133" t="inlineStr">
        <is>
          <t>No – no recent entrants</t>
        </is>
      </c>
      <c r="K46" s="133">
        <f>IF(J46="","",VLOOKUP(J46,Rubric!$A$69:$B$71,2,FALSE()))</f>
        <v/>
      </c>
      <c r="L46" s="133">
        <f>IF(COUNT(G46,I46,K46)=0,"",SUM(G46,I46,K46))</f>
        <v/>
      </c>
      <c r="M46" s="133" t="n">
        <v>15</v>
      </c>
      <c r="N46" s="133">
        <f>IF(M46="","",VLOOKUP(M46,Rubric!$A$44:$B$47,2,TRUE()))</f>
        <v/>
      </c>
      <c r="O46" s="133" t="inlineStr">
        <is>
          <t>Some – 1–2 recurring complaints</t>
        </is>
      </c>
      <c r="P46" s="133">
        <f>IF(O46="","",VLOOKUP(O46,Rubric!$A$75:$B$77,2,FALSE()))</f>
        <v/>
      </c>
      <c r="Q46" s="133" t="n">
        <v>26</v>
      </c>
      <c r="R46" s="133">
        <f>IF(Q46="","",Q46/Rubric!$B$7)</f>
        <v/>
      </c>
      <c r="S46" s="133">
        <f>IF(R46="","",VLOOKUP(R46,Rubric!$A$51:$B$53,2,TRUE()))</f>
        <v/>
      </c>
      <c r="T46" s="133">
        <f>IF(COUNT(N46,P46,S46)=0,"",SUM(N46,P46,S46))</f>
        <v/>
      </c>
      <c r="U46" s="133" t="n">
        <v>3</v>
      </c>
      <c r="V46" s="133">
        <f>IF(U46="","",VLOOKUP(MAX(U46,0),Rubric!$A$57:$B$59,2,TRUE()))</f>
        <v/>
      </c>
      <c r="W46" s="133" t="n"/>
      <c r="X46" s="133" t="n"/>
      <c r="Y46" s="133">
        <f>IF(OR(W46="",X46=""),"",IF(AND(W46&gt;=Rubric!$B$8,W46&lt;=Rubric!$B$9),IF(Rubric!$B$13=1,(W46-X46*Rubric!$B$12)*Rubric!$B$10,W46*Rubric!$B$10-X46*Rubric!$B$12),W46*Rubric!$B$11))</f>
        <v/>
      </c>
      <c r="Z46" s="133">
        <f>IF($B46="","",IF(AND(W46="",X46=""),7,IF(OR(W46="",X46=""),"",IF(X46&gt;Rubric!$B$17,0,IF(AND(Y46&gt;Rubric!$B$14,X46&lt;Rubric!$B$15),7,IF(Y46&gt;Rubric!$B$16,4,0))))))</f>
        <v/>
      </c>
      <c r="AA46" s="133" t="inlineStr">
        <is>
          <t>Low – utility log or workbook, &lt;2%</t>
        </is>
      </c>
      <c r="AB46" s="133">
        <f>IF(AA46="","",VLOOKUP(AA46,Rubric!$A$81:$B$83,2,FALSE()))</f>
        <v/>
      </c>
      <c r="AC46" s="133">
        <f>IF(COUNT(V46,Z46,AB46)=0,"",SUM(V46,Z46,AB46))</f>
        <v/>
      </c>
      <c r="AD46" s="133" t="inlineStr">
        <is>
          <t>Partial – needs Book Studio or manual content</t>
        </is>
      </c>
      <c r="AE46" s="133">
        <f>IF(AD46="","",VLOOKUP(AD46,Rubric!$A$87:$B$89,2,FALSE()))</f>
        <v/>
      </c>
      <c r="AF46" s="133" t="inlineStr">
        <is>
          <t>Medium – how-to / educational accuracy</t>
        </is>
      </c>
      <c r="AG46" s="133">
        <f>IF(AF46="","",VLOOKUP(AF46,Rubric!$A$93:$C$96,2,FALSE()))</f>
        <v/>
      </c>
      <c r="AH46" s="133">
        <f>IF(COUNT(AE46,AG46)=0,"",SUM(AE46,AG46))</f>
        <v/>
      </c>
      <c r="AI46" s="133" t="inlineStr">
        <is>
          <t>2–3 cluster titles</t>
        </is>
      </c>
      <c r="AJ46" s="133">
        <f>IF(AI46="","",VLOOKUP(AI46,Rubric!$A$100:$B$102,2,FALSE()))</f>
        <v/>
      </c>
      <c r="AK46" s="133" t="inlineStr">
        <is>
          <t>1 channel focus</t>
        </is>
      </c>
      <c r="AL46" s="133">
        <f>IF(AK46="","",VLOOKUP(AK46,Rubric!$A$106:$B$108,2,FALSE()))</f>
        <v/>
      </c>
      <c r="AM46" s="133">
        <f>IF(COUNT(AJ46,AL46)=0,"",SUM(AJ46,AL46))</f>
        <v/>
      </c>
      <c r="AN46" s="133">
        <f>IF($B46="","",SUM(L46,T46,AC46,AH46,AM46))</f>
        <v/>
      </c>
      <c r="AO46" s="133" t="n"/>
      <c r="AP46" s="133" t="n"/>
      <c r="AQ46" s="133" t="n"/>
      <c r="AR46" s="133">
        <f>IF(OR(W46="",X46=""),"",IF(OR(X46&gt;Rubric!$B$19,Y46&lt;Rubric!$B$18),"VETO",""))</f>
        <v/>
      </c>
      <c r="AS46" s="133">
        <f>IF(AF46="","",IF(VLOOKUP(AF46,Rubric!$A$93:$C$96,3,FALSE())="Yes","VETO",""))</f>
        <v/>
      </c>
      <c r="AT46" s="133">
        <f>IF($B46="","",IF(OR(AO46="Yes",AP46="Yes",AQ46="Yes",AR46="VETO",AS46="VETO"),"VETO",""))</f>
        <v/>
      </c>
      <c r="AU46" s="133">
        <f>IF($B46="","",12-COUNTA(F46,H46,J46,M46,O46,Q46,U46,AA46,AD46,AF46,AI46,AK46)+IF(AND(OR(W46="",X46=""),NOT(AND(W46="",X46=""))),1,0))</f>
        <v/>
      </c>
      <c r="AV46" s="133">
        <f>IF($B46="","",IF(AT46="VETO","Rejected – veto",IF(AU46&gt;0,"Incomplete ("&amp;AU46&amp;" missing)",IF(AN46&gt;=Rubric!$B$5,"Tier 1 – Approved",IF(AN46&gt;=Rubric!$B$6,"Tier 2 – Watchlist","Tier 3 – Rejected")))))</f>
        <v/>
      </c>
      <c r="AW46" s="133">
        <f>IF(OR($B46="",AT46="VETO"),"",IF(AU46&gt;0,"",1+SUMPRODUCT(($B$6:$B$60&lt;&gt;"")*($AT$6:$AT$60&lt;&gt;"VETO")*($AU$6:$AU$60=0)*($AN$6:$AN$60&gt;AN46))))</f>
        <v/>
      </c>
      <c r="AX46" s="133" t="n"/>
      <c r="AY46" s="133" t="inlineStr">
        <is>
          <t>BSR top3 ~450000, reviews top10 ~15, generic 26/48. Intent Medium – topic with some buying signal, freshness No – no recent entrants, defect Some – 1–2 recurring complaints. Based on Amazon search sampling Oct 2026, subagent research, and category benchmarks.</t>
        </is>
      </c>
      <c r="AZ46" s="133" t="inlineStr">
        <is>
          <t>Amazon.com search Oct 7 2026; subagent BSR sampling; category BSR proxies; policy: KDP low-content guidelines.</t>
        </is>
      </c>
    </row>
    <row r="47">
      <c r="A47" s="133">
        <f>IF($B47="","",ROW()-5)</f>
        <v/>
      </c>
      <c r="B47" s="133" t="inlineStr">
        <is>
          <t>Beginner Home Cooking Skills &amp; Recipe Experiment Workbook</t>
        </is>
      </c>
      <c r="C47" s="133" t="inlineStr">
        <is>
          <t>Home cooking / skill practice</t>
        </is>
      </c>
      <c r="D47" s="133" t="inlineStr">
        <is>
          <t>Medium-content</t>
        </is>
      </c>
      <c r="E47" s="227" t="n">
        <v>46302</v>
      </c>
      <c r="F47" s="133" t="n">
        <v>550000</v>
      </c>
      <c r="G47" s="133">
        <f>IF(F47="","",VLOOKUP(F47,Rubric!$A$37:$B$40,2,TRUE()))</f>
        <v/>
      </c>
      <c r="H47" s="133" t="inlineStr">
        <is>
          <t>Medium – topic with some buying signal</t>
        </is>
      </c>
      <c r="I47" s="133">
        <f>IF(H47="","",VLOOKUP(H47,Rubric!$A$63:$B$65,2,FALSE()))</f>
        <v/>
      </c>
      <c r="J47" s="133" t="inlineStr">
        <is>
          <t>No – no recent entrants</t>
        </is>
      </c>
      <c r="K47" s="133">
        <f>IF(J47="","",VLOOKUP(J47,Rubric!$A$69:$B$71,2,FALSE()))</f>
        <v/>
      </c>
      <c r="L47" s="133">
        <f>IF(COUNT(G47,I47,K47)=0,"",SUM(G47,I47,K47))</f>
        <v/>
      </c>
      <c r="M47" s="133" t="n">
        <v>25</v>
      </c>
      <c r="N47" s="133">
        <f>IF(M47="","",VLOOKUP(M47,Rubric!$A$44:$B$47,2,TRUE()))</f>
        <v/>
      </c>
      <c r="O47" s="133" t="inlineStr">
        <is>
          <t>Some – 1–2 recurring complaints</t>
        </is>
      </c>
      <c r="P47" s="133">
        <f>IF(O47="","",VLOOKUP(O47,Rubric!$A$75:$B$77,2,FALSE()))</f>
        <v/>
      </c>
      <c r="Q47" s="133" t="n">
        <v>30</v>
      </c>
      <c r="R47" s="133">
        <f>IF(Q47="","",Q47/Rubric!$B$7)</f>
        <v/>
      </c>
      <c r="S47" s="133">
        <f>IF(R47="","",VLOOKUP(R47,Rubric!$A$51:$B$53,2,TRUE()))</f>
        <v/>
      </c>
      <c r="T47" s="133">
        <f>IF(COUNT(N47,P47,S47)=0,"",SUM(N47,P47,S47))</f>
        <v/>
      </c>
      <c r="U47" s="133" t="n">
        <v>3</v>
      </c>
      <c r="V47" s="133">
        <f>IF(U47="","",VLOOKUP(MAX(U47,0),Rubric!$A$57:$B$59,2,TRUE()))</f>
        <v/>
      </c>
      <c r="W47" s="133" t="n"/>
      <c r="X47" s="133" t="n"/>
      <c r="Y47" s="133">
        <f>IF(OR(W47="",X47=""),"",IF(AND(W47&gt;=Rubric!$B$8,W47&lt;=Rubric!$B$9),IF(Rubric!$B$13=1,(W47-X47*Rubric!$B$12)*Rubric!$B$10,W47*Rubric!$B$10-X47*Rubric!$B$12),W47*Rubric!$B$11))</f>
        <v/>
      </c>
      <c r="Z47" s="133">
        <f>IF($B47="","",IF(AND(W47="",X47=""),7,IF(OR(W47="",X47=""),"",IF(X47&gt;Rubric!$B$17,0,IF(AND(Y47&gt;Rubric!$B$14,X47&lt;Rubric!$B$15),7,IF(Y47&gt;Rubric!$B$16,4,0))))))</f>
        <v/>
      </c>
      <c r="AA47" s="133" t="inlineStr">
        <is>
          <t>Low – utility log or workbook, &lt;2%</t>
        </is>
      </c>
      <c r="AB47" s="133">
        <f>IF(AA47="","",VLOOKUP(AA47,Rubric!$A$81:$B$83,2,FALSE()))</f>
        <v/>
      </c>
      <c r="AC47" s="133">
        <f>IF(COUNT(V47,Z47,AB47)=0,"",SUM(V47,Z47,AB47))</f>
        <v/>
      </c>
      <c r="AD47" s="133" t="inlineStr">
        <is>
          <t>Partial – needs Book Studio or manual content</t>
        </is>
      </c>
      <c r="AE47" s="133">
        <f>IF(AD47="","",VLOOKUP(AD47,Rubric!$A$87:$B$89,2,FALSE()))</f>
        <v/>
      </c>
      <c r="AF47" s="133" t="inlineStr">
        <is>
          <t>Low – logs and forms, little fact-checking</t>
        </is>
      </c>
      <c r="AG47" s="133">
        <f>IF(AF47="","",VLOOKUP(AF47,Rubric!$A$93:$C$96,2,FALSE()))</f>
        <v/>
      </c>
      <c r="AH47" s="133">
        <f>IF(COUNT(AE47,AG47)=0,"",SUM(AE47,AG47))</f>
        <v/>
      </c>
      <c r="AI47" s="133" t="inlineStr">
        <is>
          <t>2–3 cluster titles</t>
        </is>
      </c>
      <c r="AJ47" s="133">
        <f>IF(AI47="","",VLOOKUP(AI47,Rubric!$A$100:$B$102,2,FALSE()))</f>
        <v/>
      </c>
      <c r="AK47" s="133" t="inlineStr">
        <is>
          <t>2 channels with distinct uses</t>
        </is>
      </c>
      <c r="AL47" s="133">
        <f>IF(AK47="","",VLOOKUP(AK47,Rubric!$A$106:$B$108,2,FALSE()))</f>
        <v/>
      </c>
      <c r="AM47" s="133">
        <f>IF(COUNT(AJ47,AL47)=0,"",SUM(AJ47,AL47))</f>
        <v/>
      </c>
      <c r="AN47" s="133">
        <f>IF($B47="","",SUM(L47,T47,AC47,AH47,AM47))</f>
        <v/>
      </c>
      <c r="AO47" s="133" t="n"/>
      <c r="AP47" s="133" t="n"/>
      <c r="AQ47" s="133" t="n"/>
      <c r="AR47" s="133">
        <f>IF(OR(W47="",X47=""),"",IF(OR(X47&gt;Rubric!$B$19,Y47&lt;Rubric!$B$18),"VETO",""))</f>
        <v/>
      </c>
      <c r="AS47" s="133">
        <f>IF(AF47="","",IF(VLOOKUP(AF47,Rubric!$A$93:$C$96,3,FALSE())="Yes","VETO",""))</f>
        <v/>
      </c>
      <c r="AT47" s="133">
        <f>IF($B47="","",IF(OR(AO47="Yes",AP47="Yes",AQ47="Yes",AR47="VETO",AS47="VETO"),"VETO",""))</f>
        <v/>
      </c>
      <c r="AU47" s="133">
        <f>IF($B47="","",12-COUNTA(F47,H47,J47,M47,O47,Q47,U47,AA47,AD47,AF47,AI47,AK47)+IF(AND(OR(W47="",X47=""),NOT(AND(W47="",X47=""))),1,0))</f>
        <v/>
      </c>
      <c r="AV47" s="133">
        <f>IF($B47="","",IF(AT47="VETO","Rejected – veto",IF(AU47&gt;0,"Incomplete ("&amp;AU47&amp;" missing)",IF(AN47&gt;=Rubric!$B$5,"Tier 1 – Approved",IF(AN47&gt;=Rubric!$B$6,"Tier 2 – Watchlist","Tier 3 – Rejected")))))</f>
        <v/>
      </c>
      <c r="AW47" s="133">
        <f>IF(OR($B47="",AT47="VETO"),"",IF(AU47&gt;0,"",1+SUMPRODUCT(($B$6:$B$60&lt;&gt;"")*($AT$6:$AT$60&lt;&gt;"VETO")*($AU$6:$AU$60=0)*($AN$6:$AN$60&gt;AN47))))</f>
        <v/>
      </c>
      <c r="AX47" s="133" t="n"/>
      <c r="AY47" s="133" t="inlineStr">
        <is>
          <t>BSR top3 ~550000, reviews top10 ~25, generic 30/48. Intent Medium – topic with some buying signal, freshness No – no recent entrants, defect Some – 1–2 recurring complaints. Based on Amazon search sampling Oct 2026, subagent research, and category benchmarks.</t>
        </is>
      </c>
      <c r="AZ47" s="133" t="inlineStr">
        <is>
          <t>Amazon.com search Oct 7 2026; subagent BSR sampling; category BSR proxies; policy: KDP low-content guidelines.</t>
        </is>
      </c>
    </row>
    <row r="48">
      <c r="A48" s="133">
        <f>IF($B48="","",ROW()-5)</f>
        <v/>
      </c>
      <c r="B48" s="133" t="inlineStr">
        <is>
          <t>Small Boat Ownership &amp; Preventive Maintenance for Beginners</t>
        </is>
      </c>
      <c r="C48" s="133" t="inlineStr">
        <is>
          <t>Marine / small-craft ownership</t>
        </is>
      </c>
      <c r="D48" s="133" t="inlineStr">
        <is>
          <t>Flagship</t>
        </is>
      </c>
      <c r="E48" s="227" t="n">
        <v>46302</v>
      </c>
      <c r="F48" s="133" t="n">
        <v>120000</v>
      </c>
      <c r="G48" s="133">
        <f>IF(F48="","",VLOOKUP(F48,Rubric!$A$37:$B$40,2,TRUE()))</f>
        <v/>
      </c>
      <c r="H48" s="133" t="inlineStr">
        <is>
          <t>High – specific problem + buying word</t>
        </is>
      </c>
      <c r="I48" s="133">
        <f>IF(H48="","",VLOOKUP(H48,Rubric!$A$63:$B$65,2,FALSE()))</f>
        <v/>
      </c>
      <c r="J48" s="133" t="inlineStr">
        <is>
          <t>Partial – new entrant but weak signals</t>
        </is>
      </c>
      <c r="K48" s="133">
        <f>IF(J48="","",VLOOKUP(J48,Rubric!$A$69:$B$71,2,FALSE()))</f>
        <v/>
      </c>
      <c r="L48" s="133">
        <f>IF(COUNT(G48,I48,K48)=0,"",SUM(G48,I48,K48))</f>
        <v/>
      </c>
      <c r="M48" s="133" t="n">
        <v>150</v>
      </c>
      <c r="N48" s="133">
        <f>IF(M48="","",VLOOKUP(M48,Rubric!$A$44:$B$47,2,TRUE()))</f>
        <v/>
      </c>
      <c r="O48" s="133" t="inlineStr">
        <is>
          <t>Some – 1–2 recurring complaints</t>
        </is>
      </c>
      <c r="P48" s="133">
        <f>IF(O48="","",VLOOKUP(O48,Rubric!$A$75:$B$77,2,FALSE()))</f>
        <v/>
      </c>
      <c r="Q48" s="133" t="n">
        <v>18</v>
      </c>
      <c r="R48" s="133">
        <f>IF(Q48="","",Q48/Rubric!$B$7)</f>
        <v/>
      </c>
      <c r="S48" s="133">
        <f>IF(R48="","",VLOOKUP(R48,Rubric!$A$51:$B$53,2,TRUE()))</f>
        <v/>
      </c>
      <c r="T48" s="133">
        <f>IF(COUNT(N48,P48,S48)=0,"",SUM(N48,P48,S48))</f>
        <v/>
      </c>
      <c r="U48" s="133" t="n">
        <v>4.8</v>
      </c>
      <c r="V48" s="133">
        <f>IF(U48="","",VLOOKUP(MAX(U48,0),Rubric!$A$57:$B$59,2,TRUE()))</f>
        <v/>
      </c>
      <c r="W48" s="133" t="n"/>
      <c r="X48" s="133" t="n"/>
      <c r="Y48" s="133">
        <f>IF(OR(W48="",X48=""),"",IF(AND(W48&gt;=Rubric!$B$8,W48&lt;=Rubric!$B$9),IF(Rubric!$B$13=1,(W48-X48*Rubric!$B$12)*Rubric!$B$10,W48*Rubric!$B$10-X48*Rubric!$B$12),W48*Rubric!$B$11))</f>
        <v/>
      </c>
      <c r="Z48" s="133">
        <f>IF($B48="","",IF(AND(W48="",X48=""),7,IF(OR(W48="",X48=""),"",IF(X48&gt;Rubric!$B$17,0,IF(AND(Y48&gt;Rubric!$B$14,X48&lt;Rubric!$B$15),7,IF(Y48&gt;Rubric!$B$16,4,0))))))</f>
        <v/>
      </c>
      <c r="AA48" s="133" t="inlineStr">
        <is>
          <t>Low – utility log or workbook, &lt;2%</t>
        </is>
      </c>
      <c r="AB48" s="133">
        <f>IF(AA48="","",VLOOKUP(AA48,Rubric!$A$81:$B$83,2,FALSE()))</f>
        <v/>
      </c>
      <c r="AC48" s="133">
        <f>IF(COUNT(V48,Z48,AB48)=0,"",SUM(V48,Z48,AB48))</f>
        <v/>
      </c>
      <c r="AD48" s="133" t="inlineStr">
        <is>
          <t>Low – custom illustration or heavy manual work</t>
        </is>
      </c>
      <c r="AE48" s="133">
        <f>IF(AD48="","",VLOOKUP(AD48,Rubric!$A$87:$B$89,2,FALSE()))</f>
        <v/>
      </c>
      <c r="AF48" s="133" t="inlineStr">
        <is>
          <t>Medium – how-to / educational accuracy</t>
        </is>
      </c>
      <c r="AG48" s="133">
        <f>IF(AF48="","",VLOOKUP(AF48,Rubric!$A$93:$C$96,2,FALSE()))</f>
        <v/>
      </c>
      <c r="AH48" s="133">
        <f>IF(COUNT(AE48,AG48)=0,"",SUM(AE48,AG48))</f>
        <v/>
      </c>
      <c r="AI48" s="133" t="inlineStr">
        <is>
          <t>5+ cluster titles</t>
        </is>
      </c>
      <c r="AJ48" s="133">
        <f>IF(AI48="","",VLOOKUP(AI48,Rubric!$A$100:$B$102,2,FALSE()))</f>
        <v/>
      </c>
      <c r="AK48" s="133" t="inlineStr">
        <is>
          <t>3+ channels with distinct uses</t>
        </is>
      </c>
      <c r="AL48" s="133">
        <f>IF(AK48="","",VLOOKUP(AK48,Rubric!$A$106:$B$108,2,FALSE()))</f>
        <v/>
      </c>
      <c r="AM48" s="133">
        <f>IF(COUNT(AJ48,AL48)=0,"",SUM(AJ48,AL48))</f>
        <v/>
      </c>
      <c r="AN48" s="133">
        <f>IF($B48="","",SUM(L48,T48,AC48,AH48,AM48))</f>
        <v/>
      </c>
      <c r="AO48" s="133" t="n"/>
      <c r="AP48" s="133" t="n"/>
      <c r="AQ48" s="133" t="n"/>
      <c r="AR48" s="133">
        <f>IF(OR(W48="",X48=""),"",IF(OR(X48&gt;Rubric!$B$19,Y48&lt;Rubric!$B$18),"VETO",""))</f>
        <v/>
      </c>
      <c r="AS48" s="133">
        <f>IF(AF48="","",IF(VLOOKUP(AF48,Rubric!$A$93:$C$96,3,FALSE())="Yes","VETO",""))</f>
        <v/>
      </c>
      <c r="AT48" s="133">
        <f>IF($B48="","",IF(OR(AO48="Yes",AP48="Yes",AQ48="Yes",AR48="VETO",AS48="VETO"),"VETO",""))</f>
        <v/>
      </c>
      <c r="AU48" s="133">
        <f>IF($B48="","",12-COUNTA(F48,H48,J48,M48,O48,Q48,U48,AA48,AD48,AF48,AI48,AK48)+IF(AND(OR(W48="",X48=""),NOT(AND(W48="",X48=""))),1,0))</f>
        <v/>
      </c>
      <c r="AV48" s="133">
        <f>IF($B48="","",IF(AT48="VETO","Rejected – veto",IF(AU48&gt;0,"Incomplete ("&amp;AU48&amp;" missing)",IF(AN48&gt;=Rubric!$B$5,"Tier 1 – Approved",IF(AN48&gt;=Rubric!$B$6,"Tier 2 – Watchlist","Tier 3 – Rejected")))))</f>
        <v/>
      </c>
      <c r="AW48" s="133">
        <f>IF(OR($B48="",AT48="VETO"),"",IF(AU48&gt;0,"",1+SUMPRODUCT(($B$6:$B$60&lt;&gt;"")*($AT$6:$AT$60&lt;&gt;"VETO")*($AU$6:$AU$60=0)*($AN$6:$AN$60&gt;AN48))))</f>
        <v/>
      </c>
      <c r="AX48" s="133" t="n"/>
      <c r="AY48" s="133" t="inlineStr">
        <is>
          <t>BSR top3 ~120000, reviews top10 ~150, generic 18/48. Intent High – specific problem + buying word, freshness Partial – new entrant but weak signals, defect Some – 1–2 recurring complaints. Based on Amazon search sampling Oct 2026, subagent research, and category benchmarks.</t>
        </is>
      </c>
      <c r="AZ48" s="133" t="inlineStr">
        <is>
          <t>Amazon.com search Oct 7 2026; subagent BSR sampling; category BSR proxies; policy: KDP low-content guidelines.</t>
        </is>
      </c>
    </row>
    <row r="49">
      <c r="A49" s="133">
        <f>IF($B49="","",ROW()-5)</f>
        <v/>
      </c>
      <c r="B49" s="133" t="inlineStr">
        <is>
          <t>Practical Beekeeping: First-Year Hive Management Guide</t>
        </is>
      </c>
      <c r="C49" s="133" t="inlineStr">
        <is>
          <t>Beekeeping / apiculture</t>
        </is>
      </c>
      <c r="D49" s="133" t="inlineStr">
        <is>
          <t>Flagship</t>
        </is>
      </c>
      <c r="E49" s="227" t="n">
        <v>46302</v>
      </c>
      <c r="F49" s="133" t="n">
        <v>90000</v>
      </c>
      <c r="G49" s="133">
        <f>IF(F49="","",VLOOKUP(F49,Rubric!$A$37:$B$40,2,TRUE()))</f>
        <v/>
      </c>
      <c r="H49" s="133" t="inlineStr">
        <is>
          <t>High – specific problem + buying word</t>
        </is>
      </c>
      <c r="I49" s="133">
        <f>IF(H49="","",VLOOKUP(H49,Rubric!$A$63:$B$65,2,FALSE()))</f>
        <v/>
      </c>
      <c r="J49" s="133" t="inlineStr">
        <is>
          <t>Partial – new entrant but weak signals</t>
        </is>
      </c>
      <c r="K49" s="133">
        <f>IF(J49="","",VLOOKUP(J49,Rubric!$A$69:$B$71,2,FALSE()))</f>
        <v/>
      </c>
      <c r="L49" s="133">
        <f>IF(COUNT(G49,I49,K49)=0,"",SUM(G49,I49,K49))</f>
        <v/>
      </c>
      <c r="M49" s="133" t="n">
        <v>200</v>
      </c>
      <c r="N49" s="133">
        <f>IF(M49="","",VLOOKUP(M49,Rubric!$A$44:$B$47,2,TRUE()))</f>
        <v/>
      </c>
      <c r="O49" s="133" t="inlineStr">
        <is>
          <t>Some – 1–2 recurring complaints</t>
        </is>
      </c>
      <c r="P49" s="133">
        <f>IF(O49="","",VLOOKUP(O49,Rubric!$A$75:$B$77,2,FALSE()))</f>
        <v/>
      </c>
      <c r="Q49" s="133" t="n">
        <v>14</v>
      </c>
      <c r="R49" s="133">
        <f>IF(Q49="","",Q49/Rubric!$B$7)</f>
        <v/>
      </c>
      <c r="S49" s="133">
        <f>IF(R49="","",VLOOKUP(R49,Rubric!$A$51:$B$53,2,TRUE()))</f>
        <v/>
      </c>
      <c r="T49" s="133">
        <f>IF(COUNT(N49,P49,S49)=0,"",SUM(N49,P49,S49))</f>
        <v/>
      </c>
      <c r="U49" s="133" t="n">
        <v>5</v>
      </c>
      <c r="V49" s="133">
        <f>IF(U49="","",VLOOKUP(MAX(U49,0),Rubric!$A$57:$B$59,2,TRUE()))</f>
        <v/>
      </c>
      <c r="W49" s="133" t="n"/>
      <c r="X49" s="133" t="n"/>
      <c r="Y49" s="133">
        <f>IF(OR(W49="",X49=""),"",IF(AND(W49&gt;=Rubric!$B$8,W49&lt;=Rubric!$B$9),IF(Rubric!$B$13=1,(W49-X49*Rubric!$B$12)*Rubric!$B$10,W49*Rubric!$B$10-X49*Rubric!$B$12),W49*Rubric!$B$11))</f>
        <v/>
      </c>
      <c r="Z49" s="133">
        <f>IF($B49="","",IF(AND(W49="",X49=""),7,IF(OR(W49="",X49=""),"",IF(X49&gt;Rubric!$B$17,0,IF(AND(Y49&gt;Rubric!$B$14,X49&lt;Rubric!$B$15),7,IF(Y49&gt;Rubric!$B$16,4,0))))))</f>
        <v/>
      </c>
      <c r="AA49" s="133" t="inlineStr">
        <is>
          <t>Low – utility log or workbook, &lt;2%</t>
        </is>
      </c>
      <c r="AB49" s="133">
        <f>IF(AA49="","",VLOOKUP(AA49,Rubric!$A$81:$B$83,2,FALSE()))</f>
        <v/>
      </c>
      <c r="AC49" s="133">
        <f>IF(COUNT(V49,Z49,AB49)=0,"",SUM(V49,Z49,AB49))</f>
        <v/>
      </c>
      <c r="AD49" s="133" t="inlineStr">
        <is>
          <t>Low – custom illustration or heavy manual work</t>
        </is>
      </c>
      <c r="AE49" s="133">
        <f>IF(AD49="","",VLOOKUP(AD49,Rubric!$A$87:$B$89,2,FALSE()))</f>
        <v/>
      </c>
      <c r="AF49" s="133" t="inlineStr">
        <is>
          <t>High – research-intensive, fact-checking heavy</t>
        </is>
      </c>
      <c r="AG49" s="133">
        <f>IF(AF49="","",VLOOKUP(AF49,Rubric!$A$93:$C$96,2,FALSE()))</f>
        <v/>
      </c>
      <c r="AH49" s="133">
        <f>IF(COUNT(AE49,AG49)=0,"",SUM(AE49,AG49))</f>
        <v/>
      </c>
      <c r="AI49" s="133" t="inlineStr">
        <is>
          <t>5+ cluster titles</t>
        </is>
      </c>
      <c r="AJ49" s="133">
        <f>IF(AI49="","",VLOOKUP(AI49,Rubric!$A$100:$B$102,2,FALSE()))</f>
        <v/>
      </c>
      <c r="AK49" s="133" t="inlineStr">
        <is>
          <t>3+ channels with distinct uses</t>
        </is>
      </c>
      <c r="AL49" s="133">
        <f>IF(AK49="","",VLOOKUP(AK49,Rubric!$A$106:$B$108,2,FALSE()))</f>
        <v/>
      </c>
      <c r="AM49" s="133">
        <f>IF(COUNT(AJ49,AL49)=0,"",SUM(AJ49,AL49))</f>
        <v/>
      </c>
      <c r="AN49" s="133">
        <f>IF($B49="","",SUM(L49,T49,AC49,AH49,AM49))</f>
        <v/>
      </c>
      <c r="AO49" s="133" t="n"/>
      <c r="AP49" s="133" t="n"/>
      <c r="AQ49" s="133" t="n"/>
      <c r="AR49" s="133">
        <f>IF(OR(W49="",X49=""),"",IF(OR(X49&gt;Rubric!$B$19,Y49&lt;Rubric!$B$18),"VETO",""))</f>
        <v/>
      </c>
      <c r="AS49" s="133">
        <f>IF(AF49="","",IF(VLOOKUP(AF49,Rubric!$A$93:$C$96,3,FALSE())="Yes","VETO",""))</f>
        <v/>
      </c>
      <c r="AT49" s="133">
        <f>IF($B49="","",IF(OR(AO49="Yes",AP49="Yes",AQ49="Yes",AR49="VETO",AS49="VETO"),"VETO",""))</f>
        <v/>
      </c>
      <c r="AU49" s="133">
        <f>IF($B49="","",12-COUNTA(F49,H49,J49,M49,O49,Q49,U49,AA49,AD49,AF49,AI49,AK49)+IF(AND(OR(W49="",X49=""),NOT(AND(W49="",X49=""))),1,0))</f>
        <v/>
      </c>
      <c r="AV49" s="133">
        <f>IF($B49="","",IF(AT49="VETO","Rejected – veto",IF(AU49&gt;0,"Incomplete ("&amp;AU49&amp;" missing)",IF(AN49&gt;=Rubric!$B$5,"Tier 1 – Approved",IF(AN49&gt;=Rubric!$B$6,"Tier 2 – Watchlist","Tier 3 – Rejected")))))</f>
        <v/>
      </c>
      <c r="AW49" s="133">
        <f>IF(OR($B49="",AT49="VETO"),"",IF(AU49&gt;0,"",1+SUMPRODUCT(($B$6:$B$60&lt;&gt;"")*($AT$6:$AT$60&lt;&gt;"VETO")*($AU$6:$AU$60=0)*($AN$6:$AN$60&gt;AN49))))</f>
        <v/>
      </c>
      <c r="AX49" s="133" t="n"/>
      <c r="AY49" s="133" t="inlineStr">
        <is>
          <t>BSR top3 ~90000, reviews top10 ~200, generic 14/48. Intent High – specific problem + buying word, freshness Partial – new entrant but weak signals, defect Some – 1–2 recurring complaints. Based on Amazon search sampling Oct 2026, subagent research, and category benchmarks.</t>
        </is>
      </c>
      <c r="AZ49" s="133" t="inlineStr">
        <is>
          <t>Amazon.com search Oct 7 2026; subagent BSR sampling; category BSR proxies; policy: KDP low-content guidelines.</t>
        </is>
      </c>
    </row>
    <row r="50">
      <c r="A50" s="133">
        <f>IF($B50="","",ROW()-5)</f>
        <v/>
      </c>
      <c r="B50" s="133" t="inlineStr">
        <is>
          <t>Sourdough Troubleshooting: Starter, Fermentation &amp; Bake Results</t>
        </is>
      </c>
      <c r="C50" s="133" t="inlineStr">
        <is>
          <t>Sourdough / home baking</t>
        </is>
      </c>
      <c r="D50" s="133" t="inlineStr">
        <is>
          <t>Digital-first eBook</t>
        </is>
      </c>
      <c r="E50" s="227" t="n">
        <v>46302</v>
      </c>
      <c r="F50" s="133" t="n">
        <v>180000</v>
      </c>
      <c r="G50" s="133">
        <f>IF(F50="","",VLOOKUP(F50,Rubric!$A$37:$B$40,2,TRUE()))</f>
        <v/>
      </c>
      <c r="H50" s="133" t="inlineStr">
        <is>
          <t>High – specific problem + buying word</t>
        </is>
      </c>
      <c r="I50" s="133">
        <f>IF(H50="","",VLOOKUP(H50,Rubric!$A$63:$B$65,2,FALSE()))</f>
        <v/>
      </c>
      <c r="J50" s="133" t="inlineStr">
        <is>
          <t>Yes – new entrant &lt;6 mo, &lt;100 reviews, BSR &lt;100k</t>
        </is>
      </c>
      <c r="K50" s="133">
        <f>IF(J50="","",VLOOKUP(J50,Rubric!$A$69:$B$71,2,FALSE()))</f>
        <v/>
      </c>
      <c r="L50" s="133">
        <f>IF(COUNT(G50,I50,K50)=0,"",SUM(G50,I50,K50))</f>
        <v/>
      </c>
      <c r="M50" s="133" t="n">
        <v>80</v>
      </c>
      <c r="N50" s="133">
        <f>IF(M50="","",VLOOKUP(M50,Rubric!$A$44:$B$47,2,TRUE()))</f>
        <v/>
      </c>
      <c r="O50" s="133" t="inlineStr">
        <is>
          <t>Some – 1–2 recurring complaints</t>
        </is>
      </c>
      <c r="P50" s="133">
        <f>IF(O50="","",VLOOKUP(O50,Rubric!$A$75:$B$77,2,FALSE()))</f>
        <v/>
      </c>
      <c r="Q50" s="133" t="n">
        <v>20</v>
      </c>
      <c r="R50" s="133">
        <f>IF(Q50="","",Q50/Rubric!$B$7)</f>
        <v/>
      </c>
      <c r="S50" s="133">
        <f>IF(R50="","",VLOOKUP(R50,Rubric!$A$51:$B$53,2,TRUE()))</f>
        <v/>
      </c>
      <c r="T50" s="133">
        <f>IF(COUNT(N50,P50,S50)=0,"",SUM(N50,P50,S50))</f>
        <v/>
      </c>
      <c r="U50" s="133" t="n">
        <v>2.2</v>
      </c>
      <c r="V50" s="133">
        <f>IF(U50="","",VLOOKUP(MAX(U50,0),Rubric!$A$57:$B$59,2,TRUE()))</f>
        <v/>
      </c>
      <c r="W50" s="133" t="n"/>
      <c r="X50" s="133" t="n"/>
      <c r="Y50" s="133">
        <f>IF(OR(W50="",X50=""),"",IF(AND(W50&gt;=Rubric!$B$8,W50&lt;=Rubric!$B$9),IF(Rubric!$B$13=1,(W50-X50*Rubric!$B$12)*Rubric!$B$10,W50*Rubric!$B$10-X50*Rubric!$B$12),W50*Rubric!$B$11))</f>
        <v/>
      </c>
      <c r="Z50" s="133">
        <f>IF($B50="","",IF(AND(W50="",X50=""),7,IF(OR(W50="",X50=""),"",IF(X50&gt;Rubric!$B$17,0,IF(AND(Y50&gt;Rubric!$B$14,X50&lt;Rubric!$B$15),7,IF(Y50&gt;Rubric!$B$16,4,0))))))</f>
        <v/>
      </c>
      <c r="AA50" s="133" t="inlineStr">
        <is>
          <t>Low – utility log or workbook, &lt;2%</t>
        </is>
      </c>
      <c r="AB50" s="133">
        <f>IF(AA50="","",VLOOKUP(AA50,Rubric!$A$81:$B$83,2,FALSE()))</f>
        <v/>
      </c>
      <c r="AC50" s="133">
        <f>IF(COUNT(V50,Z50,AB50)=0,"",SUM(V50,Z50,AB50))</f>
        <v/>
      </c>
      <c r="AD50" s="133" t="inlineStr">
        <is>
          <t>Partial – needs Book Studio or manual content</t>
        </is>
      </c>
      <c r="AE50" s="133">
        <f>IF(AD50="","",VLOOKUP(AD50,Rubric!$A$87:$B$89,2,FALSE()))</f>
        <v/>
      </c>
      <c r="AF50" s="133" t="inlineStr">
        <is>
          <t>Medium – how-to / educational accuracy</t>
        </is>
      </c>
      <c r="AG50" s="133">
        <f>IF(AF50="","",VLOOKUP(AF50,Rubric!$A$93:$C$96,2,FALSE()))</f>
        <v/>
      </c>
      <c r="AH50" s="133">
        <f>IF(COUNT(AE50,AG50)=0,"",SUM(AE50,AG50))</f>
        <v/>
      </c>
      <c r="AI50" s="133" t="inlineStr">
        <is>
          <t>3–4 cluster titles</t>
        </is>
      </c>
      <c r="AJ50" s="133">
        <f>IF(AI50="","",VLOOKUP(AI50,Rubric!$A$100:$B$102,2,FALSE()))</f>
        <v/>
      </c>
      <c r="AK50" s="133" t="inlineStr">
        <is>
          <t>2 channels with distinct uses</t>
        </is>
      </c>
      <c r="AL50" s="133">
        <f>IF(AK50="","",VLOOKUP(AK50,Rubric!$A$106:$B$108,2,FALSE()))</f>
        <v/>
      </c>
      <c r="AM50" s="133">
        <f>IF(COUNT(AJ50,AL50)=0,"",SUM(AJ50,AL50))</f>
        <v/>
      </c>
      <c r="AN50" s="133">
        <f>IF($B50="","",SUM(L50,T50,AC50,AH50,AM50))</f>
        <v/>
      </c>
      <c r="AO50" s="133" t="n"/>
      <c r="AP50" s="133" t="n"/>
      <c r="AQ50" s="133" t="n"/>
      <c r="AR50" s="133">
        <f>IF(OR(W50="",X50=""),"",IF(OR(X50&gt;Rubric!$B$19,Y50&lt;Rubric!$B$18),"VETO",""))</f>
        <v/>
      </c>
      <c r="AS50" s="133">
        <f>IF(AF50="","",IF(VLOOKUP(AF50,Rubric!$A$93:$C$96,3,FALSE())="Yes","VETO",""))</f>
        <v/>
      </c>
      <c r="AT50" s="133">
        <f>IF($B50="","",IF(OR(AO50="Yes",AP50="Yes",AQ50="Yes",AR50="VETO",AS50="VETO"),"VETO",""))</f>
        <v/>
      </c>
      <c r="AU50" s="133">
        <f>IF($B50="","",12-COUNTA(F50,H50,J50,M50,O50,Q50,U50,AA50,AD50,AF50,AI50,AK50)+IF(AND(OR(W50="",X50=""),NOT(AND(W50="",X50=""))),1,0))</f>
        <v/>
      </c>
      <c r="AV50" s="133">
        <f>IF($B50="","",IF(AT50="VETO","Rejected – veto",IF(AU50&gt;0,"Incomplete ("&amp;AU50&amp;" missing)",IF(AN50&gt;=Rubric!$B$5,"Tier 1 – Approved",IF(AN50&gt;=Rubric!$B$6,"Tier 2 – Watchlist","Tier 3 – Rejected")))))</f>
        <v/>
      </c>
      <c r="AW50" s="133">
        <f>IF(OR($B50="",AT50="VETO"),"",IF(AU50&gt;0,"",1+SUMPRODUCT(($B$6:$B$60&lt;&gt;"")*($AT$6:$AT$60&lt;&gt;"VETO")*($AU$6:$AU$60=0)*($AN$6:$AN$60&gt;AN50))))</f>
        <v/>
      </c>
      <c r="AX50" s="133" t="n"/>
      <c r="AY50" s="133" t="inlineStr">
        <is>
          <t>BSR top3 ~180000, reviews top10 ~80, generic 20/48. Intent High – specific problem + buying word, freshness Yes – new entrant &lt;6 mo, &lt;100 reviews, BSR &lt;100k, defect Some – 1–2 recurring complaints. Based on Amazon search sampling Oct 2026, subagent research, and category benchmarks.</t>
        </is>
      </c>
      <c r="AZ50" s="133" t="inlineStr">
        <is>
          <t>Amazon.com search Oct 7 2026; subagent BSR sampling; category BSR proxies; policy: KDP low-content guidelines.</t>
        </is>
      </c>
    </row>
    <row r="51">
      <c r="A51" s="133">
        <f>IF($B51="","",ROW()-5)</f>
        <v/>
      </c>
      <c r="B51" s="133" t="inlineStr">
        <is>
          <t>RV Ownership: First-Year Setup, Safety Checks &amp; Maintenance Guide</t>
        </is>
      </c>
      <c r="C51" s="133" t="inlineStr">
        <is>
          <t>RV ownership / travel</t>
        </is>
      </c>
      <c r="D51" s="133" t="inlineStr">
        <is>
          <t>Flagship</t>
        </is>
      </c>
      <c r="E51" s="227" t="n">
        <v>46302</v>
      </c>
      <c r="F51" s="133" t="n">
        <v>100000</v>
      </c>
      <c r="G51" s="133">
        <f>IF(F51="","",VLOOKUP(F51,Rubric!$A$37:$B$40,2,TRUE()))</f>
        <v/>
      </c>
      <c r="H51" s="133" t="inlineStr">
        <is>
          <t>High – specific problem + buying word</t>
        </is>
      </c>
      <c r="I51" s="133">
        <f>IF(H51="","",VLOOKUP(H51,Rubric!$A$63:$B$65,2,FALSE()))</f>
        <v/>
      </c>
      <c r="J51" s="133" t="inlineStr">
        <is>
          <t>Partial – new entrant but weak signals</t>
        </is>
      </c>
      <c r="K51" s="133">
        <f>IF(J51="","",VLOOKUP(J51,Rubric!$A$69:$B$71,2,FALSE()))</f>
        <v/>
      </c>
      <c r="L51" s="133">
        <f>IF(COUNT(G51,I51,K51)=0,"",SUM(G51,I51,K51))</f>
        <v/>
      </c>
      <c r="M51" s="133" t="n">
        <v>120</v>
      </c>
      <c r="N51" s="133">
        <f>IF(M51="","",VLOOKUP(M51,Rubric!$A$44:$B$47,2,TRUE()))</f>
        <v/>
      </c>
      <c r="O51" s="133" t="inlineStr">
        <is>
          <t>Some – 1–2 recurring complaints</t>
        </is>
      </c>
      <c r="P51" s="133">
        <f>IF(O51="","",VLOOKUP(O51,Rubric!$A$75:$B$77,2,FALSE()))</f>
        <v/>
      </c>
      <c r="Q51" s="133" t="n">
        <v>20</v>
      </c>
      <c r="R51" s="133">
        <f>IF(Q51="","",Q51/Rubric!$B$7)</f>
        <v/>
      </c>
      <c r="S51" s="133">
        <f>IF(R51="","",VLOOKUP(R51,Rubric!$A$51:$B$53,2,TRUE()))</f>
        <v/>
      </c>
      <c r="T51" s="133">
        <f>IF(COUNT(N51,P51,S51)=0,"",SUM(N51,P51,S51))</f>
        <v/>
      </c>
      <c r="U51" s="133" t="n">
        <v>4.6</v>
      </c>
      <c r="V51" s="133">
        <f>IF(U51="","",VLOOKUP(MAX(U51,0),Rubric!$A$57:$B$59,2,TRUE()))</f>
        <v/>
      </c>
      <c r="W51" s="133" t="n"/>
      <c r="X51" s="133" t="n"/>
      <c r="Y51" s="133">
        <f>IF(OR(W51="",X51=""),"",IF(AND(W51&gt;=Rubric!$B$8,W51&lt;=Rubric!$B$9),IF(Rubric!$B$13=1,(W51-X51*Rubric!$B$12)*Rubric!$B$10,W51*Rubric!$B$10-X51*Rubric!$B$12),W51*Rubric!$B$11))</f>
        <v/>
      </c>
      <c r="Z51" s="133">
        <f>IF($B51="","",IF(AND(W51="",X51=""),7,IF(OR(W51="",X51=""),"",IF(X51&gt;Rubric!$B$17,0,IF(AND(Y51&gt;Rubric!$B$14,X51&lt;Rubric!$B$15),7,IF(Y51&gt;Rubric!$B$16,4,0))))))</f>
        <v/>
      </c>
      <c r="AA51" s="133" t="inlineStr">
        <is>
          <t>Low – utility log or workbook, &lt;2%</t>
        </is>
      </c>
      <c r="AB51" s="133">
        <f>IF(AA51="","",VLOOKUP(AA51,Rubric!$A$81:$B$83,2,FALSE()))</f>
        <v/>
      </c>
      <c r="AC51" s="133">
        <f>IF(COUNT(V51,Z51,AB51)=0,"",SUM(V51,Z51,AB51))</f>
        <v/>
      </c>
      <c r="AD51" s="133" t="inlineStr">
        <is>
          <t>Low – custom illustration or heavy manual work</t>
        </is>
      </c>
      <c r="AE51" s="133">
        <f>IF(AD51="","",VLOOKUP(AD51,Rubric!$A$87:$B$89,2,FALSE()))</f>
        <v/>
      </c>
      <c r="AF51" s="133" t="inlineStr">
        <is>
          <t>Medium – how-to / educational accuracy</t>
        </is>
      </c>
      <c r="AG51" s="133">
        <f>IF(AF51="","",VLOOKUP(AF51,Rubric!$A$93:$C$96,2,FALSE()))</f>
        <v/>
      </c>
      <c r="AH51" s="133">
        <f>IF(COUNT(AE51,AG51)=0,"",SUM(AE51,AG51))</f>
        <v/>
      </c>
      <c r="AI51" s="133" t="inlineStr">
        <is>
          <t>5+ cluster titles</t>
        </is>
      </c>
      <c r="AJ51" s="133">
        <f>IF(AI51="","",VLOOKUP(AI51,Rubric!$A$100:$B$102,2,FALSE()))</f>
        <v/>
      </c>
      <c r="AK51" s="133" t="inlineStr">
        <is>
          <t>3+ channels with distinct uses</t>
        </is>
      </c>
      <c r="AL51" s="133">
        <f>IF(AK51="","",VLOOKUP(AK51,Rubric!$A$106:$B$108,2,FALSE()))</f>
        <v/>
      </c>
      <c r="AM51" s="133">
        <f>IF(COUNT(AJ51,AL51)=0,"",SUM(AJ51,AL51))</f>
        <v/>
      </c>
      <c r="AN51" s="133">
        <f>IF($B51="","",SUM(L51,T51,AC51,AH51,AM51))</f>
        <v/>
      </c>
      <c r="AO51" s="133" t="n"/>
      <c r="AP51" s="133" t="n"/>
      <c r="AQ51" s="133" t="n"/>
      <c r="AR51" s="133">
        <f>IF(OR(W51="",X51=""),"",IF(OR(X51&gt;Rubric!$B$19,Y51&lt;Rubric!$B$18),"VETO",""))</f>
        <v/>
      </c>
      <c r="AS51" s="133">
        <f>IF(AF51="","",IF(VLOOKUP(AF51,Rubric!$A$93:$C$96,3,FALSE())="Yes","VETO",""))</f>
        <v/>
      </c>
      <c r="AT51" s="133">
        <f>IF($B51="","",IF(OR(AO51="Yes",AP51="Yes",AQ51="Yes",AR51="VETO",AS51="VETO"),"VETO",""))</f>
        <v/>
      </c>
      <c r="AU51" s="133">
        <f>IF($B51="","",12-COUNTA(F51,H51,J51,M51,O51,Q51,U51,AA51,AD51,AF51,AI51,AK51)+IF(AND(OR(W51="",X51=""),NOT(AND(W51="",X51=""))),1,0))</f>
        <v/>
      </c>
      <c r="AV51" s="133">
        <f>IF($B51="","",IF(AT51="VETO","Rejected – veto",IF(AU51&gt;0,"Incomplete ("&amp;AU51&amp;" missing)",IF(AN51&gt;=Rubric!$B$5,"Tier 1 – Approved",IF(AN51&gt;=Rubric!$B$6,"Tier 2 – Watchlist","Tier 3 – Rejected")))))</f>
        <v/>
      </c>
      <c r="AW51" s="133">
        <f>IF(OR($B51="",AT51="VETO"),"",IF(AU51&gt;0,"",1+SUMPRODUCT(($B$6:$B$60&lt;&gt;"")*($AT$6:$AT$60&lt;&gt;"VETO")*($AU$6:$AU$60=0)*($AN$6:$AN$60&gt;AN51))))</f>
        <v/>
      </c>
      <c r="AX51" s="133" t="n"/>
      <c r="AY51" s="133" t="inlineStr">
        <is>
          <t>BSR top3 ~100000, reviews top10 ~120, generic 20/48. Intent High – specific problem + buying word, freshness Partial – new entrant but weak signals, defect Some – 1–2 recurring complaints. Based on Amazon search sampling Oct 2026, subagent research, and category benchmarks.</t>
        </is>
      </c>
      <c r="AZ51" s="133" t="inlineStr">
        <is>
          <t>Amazon.com search Oct 7 2026; subagent BSR sampling; category BSR proxies; policy: KDP low-content guidelines.</t>
        </is>
      </c>
    </row>
    <row r="52">
      <c r="A52" s="133">
        <f>IF($B52="","",ROW()-5)</f>
        <v/>
      </c>
      <c r="B52" s="133" t="inlineStr">
        <is>
          <t>Freelance Graphic Designer's Client Workflow Playbook</t>
        </is>
      </c>
      <c r="C52" s="133" t="inlineStr">
        <is>
          <t>Freelance design / client management</t>
        </is>
      </c>
      <c r="D52" s="133" t="inlineStr">
        <is>
          <t>Digital-first eBook</t>
        </is>
      </c>
      <c r="E52" s="227" t="n">
        <v>46302</v>
      </c>
      <c r="F52" s="133" t="n">
        <v>200000</v>
      </c>
      <c r="G52" s="133">
        <f>IF(F52="","",VLOOKUP(F52,Rubric!$A$37:$B$40,2,TRUE()))</f>
        <v/>
      </c>
      <c r="H52" s="133" t="inlineStr">
        <is>
          <t>High – specific problem + buying word</t>
        </is>
      </c>
      <c r="I52" s="133">
        <f>IF(H52="","",VLOOKUP(H52,Rubric!$A$63:$B$65,2,FALSE()))</f>
        <v/>
      </c>
      <c r="J52" s="133" t="inlineStr">
        <is>
          <t>Yes – new entrant &lt;6 mo, &lt;100 reviews, BSR &lt;100k</t>
        </is>
      </c>
      <c r="K52" s="133">
        <f>IF(J52="","",VLOOKUP(J52,Rubric!$A$69:$B$71,2,FALSE()))</f>
        <v/>
      </c>
      <c r="L52" s="133">
        <f>IF(COUNT(G52,I52,K52)=0,"",SUM(G52,I52,K52))</f>
        <v/>
      </c>
      <c r="M52" s="133" t="n">
        <v>60</v>
      </c>
      <c r="N52" s="133">
        <f>IF(M52="","",VLOOKUP(M52,Rubric!$A$44:$B$47,2,TRUE()))</f>
        <v/>
      </c>
      <c r="O52" s="133" t="inlineStr">
        <is>
          <t>Strong – 3+ recurring complaints (missing features, no answer key)</t>
        </is>
      </c>
      <c r="P52" s="133">
        <f>IF(O52="","",VLOOKUP(O52,Rubric!$A$75:$B$77,2,FALSE()))</f>
        <v/>
      </c>
      <c r="Q52" s="133" t="n">
        <v>16</v>
      </c>
      <c r="R52" s="133">
        <f>IF(Q52="","",Q52/Rubric!$B$7)</f>
        <v/>
      </c>
      <c r="S52" s="133">
        <f>IF(R52="","",VLOOKUP(R52,Rubric!$A$51:$B$53,2,TRUE()))</f>
        <v/>
      </c>
      <c r="T52" s="133">
        <f>IF(COUNT(N52,P52,S52)=0,"",SUM(N52,P52,S52))</f>
        <v/>
      </c>
      <c r="U52" s="133" t="n">
        <v>2.5</v>
      </c>
      <c r="V52" s="133">
        <f>IF(U52="","",VLOOKUP(MAX(U52,0),Rubric!$A$57:$B$59,2,TRUE()))</f>
        <v/>
      </c>
      <c r="W52" s="133" t="n"/>
      <c r="X52" s="133" t="n"/>
      <c r="Y52" s="133">
        <f>IF(OR(W52="",X52=""),"",IF(AND(W52&gt;=Rubric!$B$8,W52&lt;=Rubric!$B$9),IF(Rubric!$B$13=1,(W52-X52*Rubric!$B$12)*Rubric!$B$10,W52*Rubric!$B$10-X52*Rubric!$B$12),W52*Rubric!$B$11))</f>
        <v/>
      </c>
      <c r="Z52" s="133">
        <f>IF($B52="","",IF(AND(W52="",X52=""),7,IF(OR(W52="",X52=""),"",IF(X52&gt;Rubric!$B$17,0,IF(AND(Y52&gt;Rubric!$B$14,X52&lt;Rubric!$B$15),7,IF(Y52&gt;Rubric!$B$16,4,0))))))</f>
        <v/>
      </c>
      <c r="AA52" s="133" t="inlineStr">
        <is>
          <t>Low – utility log or workbook, &lt;2%</t>
        </is>
      </c>
      <c r="AB52" s="133">
        <f>IF(AA52="","",VLOOKUP(AA52,Rubric!$A$81:$B$83,2,FALSE()))</f>
        <v/>
      </c>
      <c r="AC52" s="133">
        <f>IF(COUNT(V52,Z52,AB52)=0,"",SUM(V52,Z52,AB52))</f>
        <v/>
      </c>
      <c r="AD52" s="133" t="inlineStr">
        <is>
          <t>Partial – needs Book Studio or manual content</t>
        </is>
      </c>
      <c r="AE52" s="133">
        <f>IF(AD52="","",VLOOKUP(AD52,Rubric!$A$87:$B$89,2,FALSE()))</f>
        <v/>
      </c>
      <c r="AF52" s="133" t="inlineStr">
        <is>
          <t>Medium – how-to / educational accuracy</t>
        </is>
      </c>
      <c r="AG52" s="133">
        <f>IF(AF52="","",VLOOKUP(AF52,Rubric!$A$93:$C$96,2,FALSE()))</f>
        <v/>
      </c>
      <c r="AH52" s="133">
        <f>IF(COUNT(AE52,AG52)=0,"",SUM(AE52,AG52))</f>
        <v/>
      </c>
      <c r="AI52" s="133" t="inlineStr">
        <is>
          <t>3–4 cluster titles</t>
        </is>
      </c>
      <c r="AJ52" s="133">
        <f>IF(AI52="","",VLOOKUP(AI52,Rubric!$A$100:$B$102,2,FALSE()))</f>
        <v/>
      </c>
      <c r="AK52" s="133" t="inlineStr">
        <is>
          <t>3+ channels with distinct uses</t>
        </is>
      </c>
      <c r="AL52" s="133">
        <f>IF(AK52="","",VLOOKUP(AK52,Rubric!$A$106:$B$108,2,FALSE()))</f>
        <v/>
      </c>
      <c r="AM52" s="133">
        <f>IF(COUNT(AJ52,AL52)=0,"",SUM(AJ52,AL52))</f>
        <v/>
      </c>
      <c r="AN52" s="133">
        <f>IF($B52="","",SUM(L52,T52,AC52,AH52,AM52))</f>
        <v/>
      </c>
      <c r="AO52" s="133" t="n"/>
      <c r="AP52" s="133" t="n"/>
      <c r="AQ52" s="133" t="n"/>
      <c r="AR52" s="133">
        <f>IF(OR(W52="",X52=""),"",IF(OR(X52&gt;Rubric!$B$19,Y52&lt;Rubric!$B$18),"VETO",""))</f>
        <v/>
      </c>
      <c r="AS52" s="133">
        <f>IF(AF52="","",IF(VLOOKUP(AF52,Rubric!$A$93:$C$96,3,FALSE())="Yes","VETO",""))</f>
        <v/>
      </c>
      <c r="AT52" s="133">
        <f>IF($B52="","",IF(OR(AO52="Yes",AP52="Yes",AQ52="Yes",AR52="VETO",AS52="VETO"),"VETO",""))</f>
        <v/>
      </c>
      <c r="AU52" s="133">
        <f>IF($B52="","",12-COUNTA(F52,H52,J52,M52,O52,Q52,U52,AA52,AD52,AF52,AI52,AK52)+IF(AND(OR(W52="",X52=""),NOT(AND(W52="",X52=""))),1,0))</f>
        <v/>
      </c>
      <c r="AV52" s="133">
        <f>IF($B52="","",IF(AT52="VETO","Rejected – veto",IF(AU52&gt;0,"Incomplete ("&amp;AU52&amp;" missing)",IF(AN52&gt;=Rubric!$B$5,"Tier 1 – Approved",IF(AN52&gt;=Rubric!$B$6,"Tier 2 – Watchlist","Tier 3 – Rejected")))))</f>
        <v/>
      </c>
      <c r="AW52" s="133">
        <f>IF(OR($B52="",AT52="VETO"),"",IF(AU52&gt;0,"",1+SUMPRODUCT(($B$6:$B$60&lt;&gt;"")*($AT$6:$AT$60&lt;&gt;"VETO")*($AU$6:$AU$60=0)*($AN$6:$AN$60&gt;AN52))))</f>
        <v/>
      </c>
      <c r="AX52" s="133" t="n"/>
      <c r="AY52" s="133" t="inlineStr">
        <is>
          <t>BSR top3 ~200000, reviews top10 ~60, generic 16/48. Intent High – specific problem + buying word, freshness Yes – new entrant &lt;6 mo, &lt;100 reviews, BSR &lt;100k, defect Strong – 3+ recurring complaints (missing features, no answer key). Based on Amazon search sampling Oct 2026, subagent research, and category benchmarks.</t>
        </is>
      </c>
      <c r="AZ52" s="133" t="inlineStr">
        <is>
          <t>Amazon.com search Oct 7 2026; subagent BSR sampling; category BSR proxies; policy: KDP low-content guidelines.</t>
        </is>
      </c>
    </row>
    <row r="53">
      <c r="A53" s="133">
        <f>IF($B53="","",ROW()-5)</f>
        <v/>
      </c>
      <c r="B53" s="133" t="inlineStr">
        <is>
          <t>AI-Assisted Workflow Guide for Freelance Graphic Designers</t>
        </is>
      </c>
      <c r="C53" s="133" t="inlineStr">
        <is>
          <t>Freelance design / applied AI workflows</t>
        </is>
      </c>
      <c r="D53" s="133" t="inlineStr">
        <is>
          <t>Digital-first eBook</t>
        </is>
      </c>
      <c r="E53" s="227" t="n">
        <v>46302</v>
      </c>
      <c r="F53" s="133" t="n">
        <v>250000</v>
      </c>
      <c r="G53" s="133">
        <f>IF(F53="","",VLOOKUP(F53,Rubric!$A$37:$B$40,2,TRUE()))</f>
        <v/>
      </c>
      <c r="H53" s="133" t="inlineStr">
        <is>
          <t>High – specific problem + buying word</t>
        </is>
      </c>
      <c r="I53" s="133">
        <f>IF(H53="","",VLOOKUP(H53,Rubric!$A$63:$B$65,2,FALSE()))</f>
        <v/>
      </c>
      <c r="J53" s="133" t="inlineStr">
        <is>
          <t>Yes – new entrant &lt;6 mo, &lt;100 reviews, BSR &lt;100k</t>
        </is>
      </c>
      <c r="K53" s="133">
        <f>IF(J53="","",VLOOKUP(J53,Rubric!$A$69:$B$71,2,FALSE()))</f>
        <v/>
      </c>
      <c r="L53" s="133">
        <f>IF(COUNT(G53,I53,K53)=0,"",SUM(G53,I53,K53))</f>
        <v/>
      </c>
      <c r="M53" s="133" t="n">
        <v>40</v>
      </c>
      <c r="N53" s="133">
        <f>IF(M53="","",VLOOKUP(M53,Rubric!$A$44:$B$47,2,TRUE()))</f>
        <v/>
      </c>
      <c r="O53" s="133" t="inlineStr">
        <is>
          <t>Strong – 3+ recurring complaints (missing features, no answer key)</t>
        </is>
      </c>
      <c r="P53" s="133">
        <f>IF(O53="","",VLOOKUP(O53,Rubric!$A$75:$B$77,2,FALSE()))</f>
        <v/>
      </c>
      <c r="Q53" s="133" t="n">
        <v>14</v>
      </c>
      <c r="R53" s="133">
        <f>IF(Q53="","",Q53/Rubric!$B$7)</f>
        <v/>
      </c>
      <c r="S53" s="133">
        <f>IF(R53="","",VLOOKUP(R53,Rubric!$A$51:$B$53,2,TRUE()))</f>
        <v/>
      </c>
      <c r="T53" s="133">
        <f>IF(COUNT(N53,P53,S53)=0,"",SUM(N53,P53,S53))</f>
        <v/>
      </c>
      <c r="U53" s="133" t="n">
        <v>2.3</v>
      </c>
      <c r="V53" s="133">
        <f>IF(U53="","",VLOOKUP(MAX(U53,0),Rubric!$A$57:$B$59,2,TRUE()))</f>
        <v/>
      </c>
      <c r="W53" s="133" t="n"/>
      <c r="X53" s="133" t="n"/>
      <c r="Y53" s="133">
        <f>IF(OR(W53="",X53=""),"",IF(AND(W53&gt;=Rubric!$B$8,W53&lt;=Rubric!$B$9),IF(Rubric!$B$13=1,(W53-X53*Rubric!$B$12)*Rubric!$B$10,W53*Rubric!$B$10-X53*Rubric!$B$12),W53*Rubric!$B$11))</f>
        <v/>
      </c>
      <c r="Z53" s="133">
        <f>IF($B53="","",IF(AND(W53="",X53=""),7,IF(OR(W53="",X53=""),"",IF(X53&gt;Rubric!$B$17,0,IF(AND(Y53&gt;Rubric!$B$14,X53&lt;Rubric!$B$15),7,IF(Y53&gt;Rubric!$B$16,4,0))))))</f>
        <v/>
      </c>
      <c r="AA53" s="133" t="inlineStr">
        <is>
          <t>Low – utility log or workbook, &lt;2%</t>
        </is>
      </c>
      <c r="AB53" s="133">
        <f>IF(AA53="","",VLOOKUP(AA53,Rubric!$A$81:$B$83,2,FALSE()))</f>
        <v/>
      </c>
      <c r="AC53" s="133">
        <f>IF(COUNT(V53,Z53,AB53)=0,"",SUM(V53,Z53,AB53))</f>
        <v/>
      </c>
      <c r="AD53" s="133" t="inlineStr">
        <is>
          <t>Partial – needs Book Studio or manual content</t>
        </is>
      </c>
      <c r="AE53" s="133">
        <f>IF(AD53="","",VLOOKUP(AD53,Rubric!$A$87:$B$89,2,FALSE()))</f>
        <v/>
      </c>
      <c r="AF53" s="133" t="inlineStr">
        <is>
          <t>Medium – how-to / educational accuracy</t>
        </is>
      </c>
      <c r="AG53" s="133">
        <f>IF(AF53="","",VLOOKUP(AF53,Rubric!$A$93:$C$96,2,FALSE()))</f>
        <v/>
      </c>
      <c r="AH53" s="133">
        <f>IF(COUNT(AE53,AG53)=0,"",SUM(AE53,AG53))</f>
        <v/>
      </c>
      <c r="AI53" s="133" t="inlineStr">
        <is>
          <t>3–4 cluster titles</t>
        </is>
      </c>
      <c r="AJ53" s="133">
        <f>IF(AI53="","",VLOOKUP(AI53,Rubric!$A$100:$B$102,2,FALSE()))</f>
        <v/>
      </c>
      <c r="AK53" s="133" t="inlineStr">
        <is>
          <t>3+ channels with distinct uses</t>
        </is>
      </c>
      <c r="AL53" s="133">
        <f>IF(AK53="","",VLOOKUP(AK53,Rubric!$A$106:$B$108,2,FALSE()))</f>
        <v/>
      </c>
      <c r="AM53" s="133">
        <f>IF(COUNT(AJ53,AL53)=0,"",SUM(AJ53,AL53))</f>
        <v/>
      </c>
      <c r="AN53" s="133">
        <f>IF($B53="","",SUM(L53,T53,AC53,AH53,AM53))</f>
        <v/>
      </c>
      <c r="AO53" s="133" t="n"/>
      <c r="AP53" s="133" t="n"/>
      <c r="AQ53" s="133" t="n"/>
      <c r="AR53" s="133">
        <f>IF(OR(W53="",X53=""),"",IF(OR(X53&gt;Rubric!$B$19,Y53&lt;Rubric!$B$18),"VETO",""))</f>
        <v/>
      </c>
      <c r="AS53" s="133">
        <f>IF(AF53="","",IF(VLOOKUP(AF53,Rubric!$A$93:$C$96,3,FALSE())="Yes","VETO",""))</f>
        <v/>
      </c>
      <c r="AT53" s="133">
        <f>IF($B53="","",IF(OR(AO53="Yes",AP53="Yes",AQ53="Yes",AR53="VETO",AS53="VETO"),"VETO",""))</f>
        <v/>
      </c>
      <c r="AU53" s="133">
        <f>IF($B53="","",12-COUNTA(F53,H53,J53,M53,O53,Q53,U53,AA53,AD53,AF53,AI53,AK53)+IF(AND(OR(W53="",X53=""),NOT(AND(W53="",X53=""))),1,0))</f>
        <v/>
      </c>
      <c r="AV53" s="133">
        <f>IF($B53="","",IF(AT53="VETO","Rejected – veto",IF(AU53&gt;0,"Incomplete ("&amp;AU53&amp;" missing)",IF(AN53&gt;=Rubric!$B$5,"Tier 1 – Approved",IF(AN53&gt;=Rubric!$B$6,"Tier 2 – Watchlist","Tier 3 – Rejected")))))</f>
        <v/>
      </c>
      <c r="AW53" s="133">
        <f>IF(OR($B53="",AT53="VETO"),"",IF(AU53&gt;0,"",1+SUMPRODUCT(($B$6:$B$60&lt;&gt;"")*($AT$6:$AT$60&lt;&gt;"VETO")*($AU$6:$AU$60=0)*($AN$6:$AN$60&gt;AN53))))</f>
        <v/>
      </c>
      <c r="AX53" s="133" t="n"/>
      <c r="AY53" s="133" t="inlineStr">
        <is>
          <t>BSR top3 ~250000, reviews top10 ~40, generic 14/48. Intent High – specific problem + buying word, freshness Yes – new entrant &lt;6 mo, &lt;100 reviews, BSR &lt;100k, defect Strong – 3+ recurring complaints (missing features, no answer key). Based on Amazon search sampling Oct 2026, subagent research, and category benchmarks.</t>
        </is>
      </c>
      <c r="AZ53" s="133" t="inlineStr">
        <is>
          <t>Amazon.com search Oct 7 2026; subagent BSR sampling; category BSR proxies; policy: KDP low-content guidelines.</t>
        </is>
      </c>
    </row>
    <row r="54">
      <c r="A54" s="133">
        <f>IF($B54="","",ROW()-5)</f>
        <v/>
      </c>
      <c r="B54" s="133" t="inlineStr">
        <is>
          <t>Digital Asset Organization for Independent Designers</t>
        </is>
      </c>
      <c r="C54" s="133" t="inlineStr">
        <is>
          <t>Creative workflow / asset management</t>
        </is>
      </c>
      <c r="D54" s="133" t="inlineStr">
        <is>
          <t>Digital-first eBook</t>
        </is>
      </c>
      <c r="E54" s="227" t="n">
        <v>46302</v>
      </c>
      <c r="F54" s="133" t="n">
        <v>300000</v>
      </c>
      <c r="G54" s="133">
        <f>IF(F54="","",VLOOKUP(F54,Rubric!$A$37:$B$40,2,TRUE()))</f>
        <v/>
      </c>
      <c r="H54" s="133" t="inlineStr">
        <is>
          <t>Medium – topic with some buying signal</t>
        </is>
      </c>
      <c r="I54" s="133">
        <f>IF(H54="","",VLOOKUP(H54,Rubric!$A$63:$B$65,2,FALSE()))</f>
        <v/>
      </c>
      <c r="J54" s="133" t="inlineStr">
        <is>
          <t>No – no recent entrants</t>
        </is>
      </c>
      <c r="K54" s="133">
        <f>IF(J54="","",VLOOKUP(J54,Rubric!$A$69:$B$71,2,FALSE()))</f>
        <v/>
      </c>
      <c r="L54" s="133">
        <f>IF(COUNT(G54,I54,K54)=0,"",SUM(G54,I54,K54))</f>
        <v/>
      </c>
      <c r="M54" s="133" t="n">
        <v>35</v>
      </c>
      <c r="N54" s="133">
        <f>IF(M54="","",VLOOKUP(M54,Rubric!$A$44:$B$47,2,TRUE()))</f>
        <v/>
      </c>
      <c r="O54" s="133" t="inlineStr">
        <is>
          <t>Some – 1–2 recurring complaints</t>
        </is>
      </c>
      <c r="P54" s="133">
        <f>IF(O54="","",VLOOKUP(O54,Rubric!$A$75:$B$77,2,FALSE()))</f>
        <v/>
      </c>
      <c r="Q54" s="133" t="n">
        <v>12</v>
      </c>
      <c r="R54" s="133">
        <f>IF(Q54="","",Q54/Rubric!$B$7)</f>
        <v/>
      </c>
      <c r="S54" s="133">
        <f>IF(R54="","",VLOOKUP(R54,Rubric!$A$51:$B$53,2,TRUE()))</f>
        <v/>
      </c>
      <c r="T54" s="133">
        <f>IF(COUNT(N54,P54,S54)=0,"",SUM(N54,P54,S54))</f>
        <v/>
      </c>
      <c r="U54" s="133" t="n">
        <v>2.4</v>
      </c>
      <c r="V54" s="133">
        <f>IF(U54="","",VLOOKUP(MAX(U54,0),Rubric!$A$57:$B$59,2,TRUE()))</f>
        <v/>
      </c>
      <c r="W54" s="133" t="n"/>
      <c r="X54" s="133" t="n"/>
      <c r="Y54" s="133">
        <f>IF(OR(W54="",X54=""),"",IF(AND(W54&gt;=Rubric!$B$8,W54&lt;=Rubric!$B$9),IF(Rubric!$B$13=1,(W54-X54*Rubric!$B$12)*Rubric!$B$10,W54*Rubric!$B$10-X54*Rubric!$B$12),W54*Rubric!$B$11))</f>
        <v/>
      </c>
      <c r="Z54" s="133">
        <f>IF($B54="","",IF(AND(W54="",X54=""),7,IF(OR(W54="",X54=""),"",IF(X54&gt;Rubric!$B$17,0,IF(AND(Y54&gt;Rubric!$B$14,X54&lt;Rubric!$B$15),7,IF(Y54&gt;Rubric!$B$16,4,0))))))</f>
        <v/>
      </c>
      <c r="AA54" s="133" t="inlineStr">
        <is>
          <t>Low – utility log or workbook, &lt;2%</t>
        </is>
      </c>
      <c r="AB54" s="133">
        <f>IF(AA54="","",VLOOKUP(AA54,Rubric!$A$81:$B$83,2,FALSE()))</f>
        <v/>
      </c>
      <c r="AC54" s="133">
        <f>IF(COUNT(V54,Z54,AB54)=0,"",SUM(V54,Z54,AB54))</f>
        <v/>
      </c>
      <c r="AD54" s="133" t="inlineStr">
        <is>
          <t>Partial – needs Book Studio or manual content</t>
        </is>
      </c>
      <c r="AE54" s="133">
        <f>IF(AD54="","",VLOOKUP(AD54,Rubric!$A$87:$B$89,2,FALSE()))</f>
        <v/>
      </c>
      <c r="AF54" s="133" t="inlineStr">
        <is>
          <t>Medium – how-to / educational accuracy</t>
        </is>
      </c>
      <c r="AG54" s="133">
        <f>IF(AF54="","",VLOOKUP(AF54,Rubric!$A$93:$C$96,2,FALSE()))</f>
        <v/>
      </c>
      <c r="AH54" s="133">
        <f>IF(COUNT(AE54,AG54)=0,"",SUM(AE54,AG54))</f>
        <v/>
      </c>
      <c r="AI54" s="133" t="inlineStr">
        <is>
          <t>3–4 cluster titles</t>
        </is>
      </c>
      <c r="AJ54" s="133">
        <f>IF(AI54="","",VLOOKUP(AI54,Rubric!$A$100:$B$102,2,FALSE()))</f>
        <v/>
      </c>
      <c r="AK54" s="133" t="inlineStr">
        <is>
          <t>3+ channels with distinct uses</t>
        </is>
      </c>
      <c r="AL54" s="133">
        <f>IF(AK54="","",VLOOKUP(AK54,Rubric!$A$106:$B$108,2,FALSE()))</f>
        <v/>
      </c>
      <c r="AM54" s="133">
        <f>IF(COUNT(AJ54,AL54)=0,"",SUM(AJ54,AL54))</f>
        <v/>
      </c>
      <c r="AN54" s="133">
        <f>IF($B54="","",SUM(L54,T54,AC54,AH54,AM54))</f>
        <v/>
      </c>
      <c r="AO54" s="133" t="n"/>
      <c r="AP54" s="133" t="n"/>
      <c r="AQ54" s="133" t="n"/>
      <c r="AR54" s="133">
        <f>IF(OR(W54="",X54=""),"",IF(OR(X54&gt;Rubric!$B$19,Y54&lt;Rubric!$B$18),"VETO",""))</f>
        <v/>
      </c>
      <c r="AS54" s="133">
        <f>IF(AF54="","",IF(VLOOKUP(AF54,Rubric!$A$93:$C$96,3,FALSE())="Yes","VETO",""))</f>
        <v/>
      </c>
      <c r="AT54" s="133">
        <f>IF($B54="","",IF(OR(AO54="Yes",AP54="Yes",AQ54="Yes",AR54="VETO",AS54="VETO"),"VETO",""))</f>
        <v/>
      </c>
      <c r="AU54" s="133">
        <f>IF($B54="","",12-COUNTA(F54,H54,J54,M54,O54,Q54,U54,AA54,AD54,AF54,AI54,AK54)+IF(AND(OR(W54="",X54=""),NOT(AND(W54="",X54=""))),1,0))</f>
        <v/>
      </c>
      <c r="AV54" s="133">
        <f>IF($B54="","",IF(AT54="VETO","Rejected – veto",IF(AU54&gt;0,"Incomplete ("&amp;AU54&amp;" missing)",IF(AN54&gt;=Rubric!$B$5,"Tier 1 – Approved",IF(AN54&gt;=Rubric!$B$6,"Tier 2 – Watchlist","Tier 3 – Rejected")))))</f>
        <v/>
      </c>
      <c r="AW54" s="133">
        <f>IF(OR($B54="",AT54="VETO"),"",IF(AU54&gt;0,"",1+SUMPRODUCT(($B$6:$B$60&lt;&gt;"")*($AT$6:$AT$60&lt;&gt;"VETO")*($AU$6:$AU$60=0)*($AN$6:$AN$60&gt;AN54))))</f>
        <v/>
      </c>
      <c r="AX54" s="133" t="n"/>
      <c r="AY54" s="133" t="inlineStr">
        <is>
          <t>BSR top3 ~300000, reviews top10 ~35, generic 12/48. Intent Medium – topic with some buying signal, freshness No – no recent entrants, defect Some – 1–2 recurring complaints. Based on Amazon search sampling Oct 2026, subagent research, and category benchmarks.</t>
        </is>
      </c>
      <c r="AZ54" s="133" t="inlineStr">
        <is>
          <t>Amazon.com search Oct 7 2026; subagent BSR sampling; category BSR proxies; policy: KDP low-content guidelines.</t>
        </is>
      </c>
    </row>
    <row r="55">
      <c r="A55" s="133">
        <f>IF($B55="","",ROW()-5)</f>
        <v/>
      </c>
      <c r="B55" s="133" t="inlineStr">
        <is>
          <t>Practical AI Workflow Guide for Independent Self-Publishers</t>
        </is>
      </c>
      <c r="C55" s="133" t="inlineStr">
        <is>
          <t>Independent publishing / applied AI</t>
        </is>
      </c>
      <c r="D55" s="133" t="inlineStr">
        <is>
          <t>Digital-first eBook</t>
        </is>
      </c>
      <c r="E55" s="227" t="n">
        <v>46302</v>
      </c>
      <c r="F55" s="133" t="n">
        <v>180000</v>
      </c>
      <c r="G55" s="133">
        <f>IF(F55="","",VLOOKUP(F55,Rubric!$A$37:$B$40,2,TRUE()))</f>
        <v/>
      </c>
      <c r="H55" s="133" t="inlineStr">
        <is>
          <t>High – specific problem + buying word</t>
        </is>
      </c>
      <c r="I55" s="133">
        <f>IF(H55="","",VLOOKUP(H55,Rubric!$A$63:$B$65,2,FALSE()))</f>
        <v/>
      </c>
      <c r="J55" s="133" t="inlineStr">
        <is>
          <t>Yes – new entrant &lt;6 mo, &lt;100 reviews, BSR &lt;100k</t>
        </is>
      </c>
      <c r="K55" s="133">
        <f>IF(J55="","",VLOOKUP(J55,Rubric!$A$69:$B$71,2,FALSE()))</f>
        <v/>
      </c>
      <c r="L55" s="133">
        <f>IF(COUNT(G55,I55,K55)=0,"",SUM(G55,I55,K55))</f>
        <v/>
      </c>
      <c r="M55" s="133" t="n">
        <v>70</v>
      </c>
      <c r="N55" s="133">
        <f>IF(M55="","",VLOOKUP(M55,Rubric!$A$44:$B$47,2,TRUE()))</f>
        <v/>
      </c>
      <c r="O55" s="133" t="inlineStr">
        <is>
          <t>Strong – 3+ recurring complaints (missing features, no answer key)</t>
        </is>
      </c>
      <c r="P55" s="133">
        <f>IF(O55="","",VLOOKUP(O55,Rubric!$A$75:$B$77,2,FALSE()))</f>
        <v/>
      </c>
      <c r="Q55" s="133" t="n">
        <v>10</v>
      </c>
      <c r="R55" s="133">
        <f>IF(Q55="","",Q55/Rubric!$B$7)</f>
        <v/>
      </c>
      <c r="S55" s="133">
        <f>IF(R55="","",VLOOKUP(R55,Rubric!$A$51:$B$53,2,TRUE()))</f>
        <v/>
      </c>
      <c r="T55" s="133">
        <f>IF(COUNT(N55,P55,S55)=0,"",SUM(N55,P55,S55))</f>
        <v/>
      </c>
      <c r="U55" s="133" t="n">
        <v>2.2</v>
      </c>
      <c r="V55" s="133">
        <f>IF(U55="","",VLOOKUP(MAX(U55,0),Rubric!$A$57:$B$59,2,TRUE()))</f>
        <v/>
      </c>
      <c r="W55" s="133" t="n"/>
      <c r="X55" s="133" t="n"/>
      <c r="Y55" s="133">
        <f>IF(OR(W55="",X55=""),"",IF(AND(W55&gt;=Rubric!$B$8,W55&lt;=Rubric!$B$9),IF(Rubric!$B$13=1,(W55-X55*Rubric!$B$12)*Rubric!$B$10,W55*Rubric!$B$10-X55*Rubric!$B$12),W55*Rubric!$B$11))</f>
        <v/>
      </c>
      <c r="Z55" s="133">
        <f>IF($B55="","",IF(AND(W55="",X55=""),7,IF(OR(W55="",X55=""),"",IF(X55&gt;Rubric!$B$17,0,IF(AND(Y55&gt;Rubric!$B$14,X55&lt;Rubric!$B$15),7,IF(Y55&gt;Rubric!$B$16,4,0))))))</f>
        <v/>
      </c>
      <c r="AA55" s="133" t="inlineStr">
        <is>
          <t>Low – utility log or workbook, &lt;2%</t>
        </is>
      </c>
      <c r="AB55" s="133">
        <f>IF(AA55="","",VLOOKUP(AA55,Rubric!$A$81:$B$83,2,FALSE()))</f>
        <v/>
      </c>
      <c r="AC55" s="133">
        <f>IF(COUNT(V55,Z55,AB55)=0,"",SUM(V55,Z55,AB55))</f>
        <v/>
      </c>
      <c r="AD55" s="133" t="inlineStr">
        <is>
          <t>Partial – needs Book Studio or manual content</t>
        </is>
      </c>
      <c r="AE55" s="133">
        <f>IF(AD55="","",VLOOKUP(AD55,Rubric!$A$87:$B$89,2,FALSE()))</f>
        <v/>
      </c>
      <c r="AF55" s="133" t="inlineStr">
        <is>
          <t>Medium – how-to / educational accuracy</t>
        </is>
      </c>
      <c r="AG55" s="133">
        <f>IF(AF55="","",VLOOKUP(AF55,Rubric!$A$93:$C$96,2,FALSE()))</f>
        <v/>
      </c>
      <c r="AH55" s="133">
        <f>IF(COUNT(AE55,AG55)=0,"",SUM(AE55,AG55))</f>
        <v/>
      </c>
      <c r="AI55" s="133" t="inlineStr">
        <is>
          <t>3–4 cluster titles</t>
        </is>
      </c>
      <c r="AJ55" s="133">
        <f>IF(AI55="","",VLOOKUP(AI55,Rubric!$A$100:$B$102,2,FALSE()))</f>
        <v/>
      </c>
      <c r="AK55" s="133" t="inlineStr">
        <is>
          <t>3+ channels with distinct uses</t>
        </is>
      </c>
      <c r="AL55" s="133">
        <f>IF(AK55="","",VLOOKUP(AK55,Rubric!$A$106:$B$108,2,FALSE()))</f>
        <v/>
      </c>
      <c r="AM55" s="133">
        <f>IF(COUNT(AJ55,AL55)=0,"",SUM(AJ55,AL55))</f>
        <v/>
      </c>
      <c r="AN55" s="133">
        <f>IF($B55="","",SUM(L55,T55,AC55,AH55,AM55))</f>
        <v/>
      </c>
      <c r="AO55" s="133" t="n"/>
      <c r="AP55" s="133" t="n"/>
      <c r="AQ55" s="133" t="n"/>
      <c r="AR55" s="133">
        <f>IF(OR(W55="",X55=""),"",IF(OR(X55&gt;Rubric!$B$19,Y55&lt;Rubric!$B$18),"VETO",""))</f>
        <v/>
      </c>
      <c r="AS55" s="133">
        <f>IF(AF55="","",IF(VLOOKUP(AF55,Rubric!$A$93:$C$96,3,FALSE())="Yes","VETO",""))</f>
        <v/>
      </c>
      <c r="AT55" s="133">
        <f>IF($B55="","",IF(OR(AO55="Yes",AP55="Yes",AQ55="Yes",AR55="VETO",AS55="VETO"),"VETO",""))</f>
        <v/>
      </c>
      <c r="AU55" s="133">
        <f>IF($B55="","",12-COUNTA(F55,H55,J55,M55,O55,Q55,U55,AA55,AD55,AF55,AI55,AK55)+IF(AND(OR(W55="",X55=""),NOT(AND(W55="",X55=""))),1,0))</f>
        <v/>
      </c>
      <c r="AV55" s="133">
        <f>IF($B55="","",IF(AT55="VETO","Rejected – veto",IF(AU55&gt;0,"Incomplete ("&amp;AU55&amp;" missing)",IF(AN55&gt;=Rubric!$B$5,"Tier 1 – Approved",IF(AN55&gt;=Rubric!$B$6,"Tier 2 – Watchlist","Tier 3 – Rejected")))))</f>
        <v/>
      </c>
      <c r="AW55" s="133">
        <f>IF(OR($B55="",AT55="VETO"),"",IF(AU55&gt;0,"",1+SUMPRODUCT(($B$6:$B$60&lt;&gt;"")*($AT$6:$AT$60&lt;&gt;"VETO")*($AU$6:$AU$60=0)*($AN$6:$AN$60&gt;AN55))))</f>
        <v/>
      </c>
      <c r="AX55" s="133" t="n"/>
      <c r="AY55" s="133" t="inlineStr">
        <is>
          <t>BSR top3 ~180000, reviews top10 ~70, generic 10/48. Intent High – specific problem + buying word, freshness Yes – new entrant &lt;6 mo, &lt;100 reviews, BSR &lt;100k, defect Strong – 3+ recurring complaints (missing features, no answer key). Based on Amazon search sampling Oct 2026, subagent research, and category benchmarks.</t>
        </is>
      </c>
      <c r="AZ55" s="133" t="inlineStr">
        <is>
          <t>Amazon.com search Oct 7 2026; subagent BSR sampling; category BSR proxies; policy: KDP low-content guidelines.</t>
        </is>
      </c>
    </row>
    <row r="56">
      <c r="A56" s="133">
        <f>IF($B56="","",ROW()-5)</f>
        <v/>
      </c>
      <c r="B56" s="133" t="inlineStr">
        <is>
          <t>First-Time Landlord: Property Maintenance &amp; Turnover Playbook</t>
        </is>
      </c>
      <c r="C56" s="133" t="inlineStr">
        <is>
          <t>Rental property operations</t>
        </is>
      </c>
      <c r="D56" s="133" t="inlineStr">
        <is>
          <t>Flagship</t>
        </is>
      </c>
      <c r="E56" s="227" t="n">
        <v>46302</v>
      </c>
      <c r="F56" s="133" t="n">
        <v>120000</v>
      </c>
      <c r="G56" s="133">
        <f>IF(F56="","",VLOOKUP(F56,Rubric!$A$37:$B$40,2,TRUE()))</f>
        <v/>
      </c>
      <c r="H56" s="133" t="inlineStr">
        <is>
          <t>High – specific problem + buying word</t>
        </is>
      </c>
      <c r="I56" s="133">
        <f>IF(H56="","",VLOOKUP(H56,Rubric!$A$63:$B$65,2,FALSE()))</f>
        <v/>
      </c>
      <c r="J56" s="133" t="inlineStr">
        <is>
          <t>Partial – new entrant but weak signals</t>
        </is>
      </c>
      <c r="K56" s="133">
        <f>IF(J56="","",VLOOKUP(J56,Rubric!$A$69:$B$71,2,FALSE()))</f>
        <v/>
      </c>
      <c r="L56" s="133">
        <f>IF(COUNT(G56,I56,K56)=0,"",SUM(G56,I56,K56))</f>
        <v/>
      </c>
      <c r="M56" s="133" t="n">
        <v>100</v>
      </c>
      <c r="N56" s="133">
        <f>IF(M56="","",VLOOKUP(M56,Rubric!$A$44:$B$47,2,TRUE()))</f>
        <v/>
      </c>
      <c r="O56" s="133" t="inlineStr">
        <is>
          <t>Some – 1–2 recurring complaints</t>
        </is>
      </c>
      <c r="P56" s="133">
        <f>IF(O56="","",VLOOKUP(O56,Rubric!$A$75:$B$77,2,FALSE()))</f>
        <v/>
      </c>
      <c r="Q56" s="133" t="n">
        <v>18</v>
      </c>
      <c r="R56" s="133">
        <f>IF(Q56="","",Q56/Rubric!$B$7)</f>
        <v/>
      </c>
      <c r="S56" s="133">
        <f>IF(R56="","",VLOOKUP(R56,Rubric!$A$51:$B$53,2,TRUE()))</f>
        <v/>
      </c>
      <c r="T56" s="133">
        <f>IF(COUNT(N56,P56,S56)=0,"",SUM(N56,P56,S56))</f>
        <v/>
      </c>
      <c r="U56" s="133" t="n">
        <v>4.7</v>
      </c>
      <c r="V56" s="133">
        <f>IF(U56="","",VLOOKUP(MAX(U56,0),Rubric!$A$57:$B$59,2,TRUE()))</f>
        <v/>
      </c>
      <c r="W56" s="133" t="n"/>
      <c r="X56" s="133" t="n"/>
      <c r="Y56" s="133">
        <f>IF(OR(W56="",X56=""),"",IF(AND(W56&gt;=Rubric!$B$8,W56&lt;=Rubric!$B$9),IF(Rubric!$B$13=1,(W56-X56*Rubric!$B$12)*Rubric!$B$10,W56*Rubric!$B$10-X56*Rubric!$B$12),W56*Rubric!$B$11))</f>
        <v/>
      </c>
      <c r="Z56" s="133">
        <f>IF($B56="","",IF(AND(W56="",X56=""),7,IF(OR(W56="",X56=""),"",IF(X56&gt;Rubric!$B$17,0,IF(AND(Y56&gt;Rubric!$B$14,X56&lt;Rubric!$B$15),7,IF(Y56&gt;Rubric!$B$16,4,0))))))</f>
        <v/>
      </c>
      <c r="AA56" s="133" t="inlineStr">
        <is>
          <t>Low – utility log or workbook, &lt;2%</t>
        </is>
      </c>
      <c r="AB56" s="133">
        <f>IF(AA56="","",VLOOKUP(AA56,Rubric!$A$81:$B$83,2,FALSE()))</f>
        <v/>
      </c>
      <c r="AC56" s="133">
        <f>IF(COUNT(V56,Z56,AB56)=0,"",SUM(V56,Z56,AB56))</f>
        <v/>
      </c>
      <c r="AD56" s="133" t="inlineStr">
        <is>
          <t>Low – custom illustration or heavy manual work</t>
        </is>
      </c>
      <c r="AE56" s="133">
        <f>IF(AD56="","",VLOOKUP(AD56,Rubric!$A$87:$B$89,2,FALSE()))</f>
        <v/>
      </c>
      <c r="AF56" s="133" t="inlineStr">
        <is>
          <t>Medium – how-to / educational accuracy</t>
        </is>
      </c>
      <c r="AG56" s="133">
        <f>IF(AF56="","",VLOOKUP(AF56,Rubric!$A$93:$C$96,2,FALSE()))</f>
        <v/>
      </c>
      <c r="AH56" s="133">
        <f>IF(COUNT(AE56,AG56)=0,"",SUM(AE56,AG56))</f>
        <v/>
      </c>
      <c r="AI56" s="133" t="inlineStr">
        <is>
          <t>5+ cluster titles</t>
        </is>
      </c>
      <c r="AJ56" s="133">
        <f>IF(AI56="","",VLOOKUP(AI56,Rubric!$A$100:$B$102,2,FALSE()))</f>
        <v/>
      </c>
      <c r="AK56" s="133" t="inlineStr">
        <is>
          <t>3+ channels with distinct uses</t>
        </is>
      </c>
      <c r="AL56" s="133">
        <f>IF(AK56="","",VLOOKUP(AK56,Rubric!$A$106:$B$108,2,FALSE()))</f>
        <v/>
      </c>
      <c r="AM56" s="133">
        <f>IF(COUNT(AJ56,AL56)=0,"",SUM(AJ56,AL56))</f>
        <v/>
      </c>
      <c r="AN56" s="133">
        <f>IF($B56="","",SUM(L56,T56,AC56,AH56,AM56))</f>
        <v/>
      </c>
      <c r="AO56" s="133" t="n"/>
      <c r="AP56" s="133" t="n"/>
      <c r="AQ56" s="133" t="n"/>
      <c r="AR56" s="133">
        <f>IF(OR(W56="",X56=""),"",IF(OR(X56&gt;Rubric!$B$19,Y56&lt;Rubric!$B$18),"VETO",""))</f>
        <v/>
      </c>
      <c r="AS56" s="133">
        <f>IF(AF56="","",IF(VLOOKUP(AF56,Rubric!$A$93:$C$96,3,FALSE())="Yes","VETO",""))</f>
        <v/>
      </c>
      <c r="AT56" s="133">
        <f>IF($B56="","",IF(OR(AO56="Yes",AP56="Yes",AQ56="Yes",AR56="VETO",AS56="VETO"),"VETO",""))</f>
        <v/>
      </c>
      <c r="AU56" s="133">
        <f>IF($B56="","",12-COUNTA(F56,H56,J56,M56,O56,Q56,U56,AA56,AD56,AF56,AI56,AK56)+IF(AND(OR(W56="",X56=""),NOT(AND(W56="",X56=""))),1,0))</f>
        <v/>
      </c>
      <c r="AV56" s="133">
        <f>IF($B56="","",IF(AT56="VETO","Rejected – veto",IF(AU56&gt;0,"Incomplete ("&amp;AU56&amp;" missing)",IF(AN56&gt;=Rubric!$B$5,"Tier 1 – Approved",IF(AN56&gt;=Rubric!$B$6,"Tier 2 – Watchlist","Tier 3 – Rejected")))))</f>
        <v/>
      </c>
      <c r="AW56" s="133">
        <f>IF(OR($B56="",AT56="VETO"),"",IF(AU56&gt;0,"",1+SUMPRODUCT(($B$6:$B$60&lt;&gt;"")*($AT$6:$AT$60&lt;&gt;"VETO")*($AU$6:$AU$60=0)*($AN$6:$AN$60&gt;AN56))))</f>
        <v/>
      </c>
      <c r="AX56" s="133" t="n"/>
      <c r="AY56" s="133" t="inlineStr">
        <is>
          <t>BSR top3 ~120000, reviews top10 ~100, generic 18/48. Intent High – specific problem + buying word, freshness Partial – new entrant but weak signals, defect Some – 1–2 recurring complaints. Based on Amazon search sampling Oct 2026, subagent research, and category benchmarks.</t>
        </is>
      </c>
      <c r="AZ56" s="133" t="inlineStr">
        <is>
          <t>Amazon.com search Oct 7 2026; subagent BSR sampling; category BSR proxies; policy: KDP low-content guidelines.</t>
        </is>
      </c>
    </row>
    <row r="57">
      <c r="A57" s="133">
        <f>IF($B57="","",ROW()-5)</f>
        <v/>
      </c>
      <c r="B57" s="133" t="inlineStr">
        <is>
          <t>Home Inventory &amp; Household Document Organization System</t>
        </is>
      </c>
      <c r="C57" s="133" t="inlineStr">
        <is>
          <t>Home records / ownership</t>
        </is>
      </c>
      <c r="D57" s="133" t="inlineStr">
        <is>
          <t>Digital-first eBook</t>
        </is>
      </c>
      <c r="E57" s="227" t="n">
        <v>46302</v>
      </c>
      <c r="F57" s="133" t="n">
        <v>250000</v>
      </c>
      <c r="G57" s="133">
        <f>IF(F57="","",VLOOKUP(F57,Rubric!$A$37:$B$40,2,TRUE()))</f>
        <v/>
      </c>
      <c r="H57" s="133" t="inlineStr">
        <is>
          <t>High – specific problem + buying word</t>
        </is>
      </c>
      <c r="I57" s="133">
        <f>IF(H57="","",VLOOKUP(H57,Rubric!$A$63:$B$65,2,FALSE()))</f>
        <v/>
      </c>
      <c r="J57" s="133" t="inlineStr">
        <is>
          <t>No – no recent entrants</t>
        </is>
      </c>
      <c r="K57" s="133">
        <f>IF(J57="","",VLOOKUP(J57,Rubric!$A$69:$B$71,2,FALSE()))</f>
        <v/>
      </c>
      <c r="L57" s="133">
        <f>IF(COUNT(G57,I57,K57)=0,"",SUM(G57,I57,K57))</f>
        <v/>
      </c>
      <c r="M57" s="133" t="n">
        <v>50</v>
      </c>
      <c r="N57" s="133">
        <f>IF(M57="","",VLOOKUP(M57,Rubric!$A$44:$B$47,2,TRUE()))</f>
        <v/>
      </c>
      <c r="O57" s="133" t="inlineStr">
        <is>
          <t>Some – 1–2 recurring complaints</t>
        </is>
      </c>
      <c r="P57" s="133">
        <f>IF(O57="","",VLOOKUP(O57,Rubric!$A$75:$B$77,2,FALSE()))</f>
        <v/>
      </c>
      <c r="Q57" s="133" t="n">
        <v>20</v>
      </c>
      <c r="R57" s="133">
        <f>IF(Q57="","",Q57/Rubric!$B$7)</f>
        <v/>
      </c>
      <c r="S57" s="133">
        <f>IF(R57="","",VLOOKUP(R57,Rubric!$A$51:$B$53,2,TRUE()))</f>
        <v/>
      </c>
      <c r="T57" s="133">
        <f>IF(COUNT(N57,P57,S57)=0,"",SUM(N57,P57,S57))</f>
        <v/>
      </c>
      <c r="U57" s="133" t="n">
        <v>2.6</v>
      </c>
      <c r="V57" s="133">
        <f>IF(U57="","",VLOOKUP(MAX(U57,0),Rubric!$A$57:$B$59,2,TRUE()))</f>
        <v/>
      </c>
      <c r="W57" s="133" t="n"/>
      <c r="X57" s="133" t="n"/>
      <c r="Y57" s="133">
        <f>IF(OR(W57="",X57=""),"",IF(AND(W57&gt;=Rubric!$B$8,W57&lt;=Rubric!$B$9),IF(Rubric!$B$13=1,(W57-X57*Rubric!$B$12)*Rubric!$B$10,W57*Rubric!$B$10-X57*Rubric!$B$12),W57*Rubric!$B$11))</f>
        <v/>
      </c>
      <c r="Z57" s="133">
        <f>IF($B57="","",IF(AND(W57="",X57=""),7,IF(OR(W57="",X57=""),"",IF(X57&gt;Rubric!$B$17,0,IF(AND(Y57&gt;Rubric!$B$14,X57&lt;Rubric!$B$15),7,IF(Y57&gt;Rubric!$B$16,4,0))))))</f>
        <v/>
      </c>
      <c r="AA57" s="133" t="inlineStr">
        <is>
          <t>Low – utility log or workbook, &lt;2%</t>
        </is>
      </c>
      <c r="AB57" s="133">
        <f>IF(AA57="","",VLOOKUP(AA57,Rubric!$A$81:$B$83,2,FALSE()))</f>
        <v/>
      </c>
      <c r="AC57" s="133">
        <f>IF(COUNT(V57,Z57,AB57)=0,"",SUM(V57,Z57,AB57))</f>
        <v/>
      </c>
      <c r="AD57" s="133" t="inlineStr">
        <is>
          <t>Partial – needs Book Studio or manual content</t>
        </is>
      </c>
      <c r="AE57" s="133">
        <f>IF(AD57="","",VLOOKUP(AD57,Rubric!$A$87:$B$89,2,FALSE()))</f>
        <v/>
      </c>
      <c r="AF57" s="133" t="inlineStr">
        <is>
          <t>Medium – how-to / educational accuracy</t>
        </is>
      </c>
      <c r="AG57" s="133">
        <f>IF(AF57="","",VLOOKUP(AF57,Rubric!$A$93:$C$96,2,FALSE()))</f>
        <v/>
      </c>
      <c r="AH57" s="133">
        <f>IF(COUNT(AE57,AG57)=0,"",SUM(AE57,AG57))</f>
        <v/>
      </c>
      <c r="AI57" s="133" t="inlineStr">
        <is>
          <t>5+ cluster titles</t>
        </is>
      </c>
      <c r="AJ57" s="133">
        <f>IF(AI57="","",VLOOKUP(AI57,Rubric!$A$100:$B$102,2,FALSE()))</f>
        <v/>
      </c>
      <c r="AK57" s="133" t="inlineStr">
        <is>
          <t>3+ channels with distinct uses</t>
        </is>
      </c>
      <c r="AL57" s="133">
        <f>IF(AK57="","",VLOOKUP(AK57,Rubric!$A$106:$B$108,2,FALSE()))</f>
        <v/>
      </c>
      <c r="AM57" s="133">
        <f>IF(COUNT(AJ57,AL57)=0,"",SUM(AJ57,AL57))</f>
        <v/>
      </c>
      <c r="AN57" s="133">
        <f>IF($B57="","",SUM(L57,T57,AC57,AH57,AM57))</f>
        <v/>
      </c>
      <c r="AO57" s="133" t="n"/>
      <c r="AP57" s="133" t="n"/>
      <c r="AQ57" s="133" t="n"/>
      <c r="AR57" s="133">
        <f>IF(OR(W57="",X57=""),"",IF(OR(X57&gt;Rubric!$B$19,Y57&lt;Rubric!$B$18),"VETO",""))</f>
        <v/>
      </c>
      <c r="AS57" s="133">
        <f>IF(AF57="","",IF(VLOOKUP(AF57,Rubric!$A$93:$C$96,3,FALSE())="Yes","VETO",""))</f>
        <v/>
      </c>
      <c r="AT57" s="133">
        <f>IF($B57="","",IF(OR(AO57="Yes",AP57="Yes",AQ57="Yes",AR57="VETO",AS57="VETO"),"VETO",""))</f>
        <v/>
      </c>
      <c r="AU57" s="133">
        <f>IF($B57="","",12-COUNTA(F57,H57,J57,M57,O57,Q57,U57,AA57,AD57,AF57,AI57,AK57)+IF(AND(OR(W57="",X57=""),NOT(AND(W57="",X57=""))),1,0))</f>
        <v/>
      </c>
      <c r="AV57" s="133">
        <f>IF($B57="","",IF(AT57="VETO","Rejected – veto",IF(AU57&gt;0,"Incomplete ("&amp;AU57&amp;" missing)",IF(AN57&gt;=Rubric!$B$5,"Tier 1 – Approved",IF(AN57&gt;=Rubric!$B$6,"Tier 2 – Watchlist","Tier 3 – Rejected")))))</f>
        <v/>
      </c>
      <c r="AW57" s="133">
        <f>IF(OR($B57="",AT57="VETO"),"",IF(AU57&gt;0,"",1+SUMPRODUCT(($B$6:$B$60&lt;&gt;"")*($AT$6:$AT$60&lt;&gt;"VETO")*($AU$6:$AU$60=0)*($AN$6:$AN$60&gt;AN57))))</f>
        <v/>
      </c>
      <c r="AX57" s="133" t="n"/>
      <c r="AY57" s="133" t="inlineStr">
        <is>
          <t>BSR top3 ~250000, reviews top10 ~50, generic 20/48. Intent High – specific problem + buying word, freshness No – no recent entrants, defect Some – 1–2 recurring complaints. Based on Amazon search sampling Oct 2026, subagent research, and category benchmarks.</t>
        </is>
      </c>
      <c r="AZ57" s="133" t="inlineStr">
        <is>
          <t>Amazon.com search Oct 7 2026; subagent BSR sampling; category BSR proxies; policy: KDP low-content guidelines.</t>
        </is>
      </c>
    </row>
    <row r="58">
      <c r="A58" s="133">
        <f>IF($B58="","",ROW()-5)</f>
        <v/>
      </c>
      <c r="B58" s="133" t="inlineStr">
        <is>
          <t>Amateur Astronomy Observation Guide for Beginners</t>
        </is>
      </c>
      <c r="C58" s="133" t="inlineStr">
        <is>
          <t>Amateur astronomy</t>
        </is>
      </c>
      <c r="D58" s="133" t="inlineStr">
        <is>
          <t>Digital-first eBook</t>
        </is>
      </c>
      <c r="E58" s="227" t="n">
        <v>46302</v>
      </c>
      <c r="F58" s="133" t="n">
        <v>350000</v>
      </c>
      <c r="G58" s="133">
        <f>IF(F58="","",VLOOKUP(F58,Rubric!$A$37:$B$40,2,TRUE()))</f>
        <v/>
      </c>
      <c r="H58" s="133" t="inlineStr">
        <is>
          <t>Medium – topic with some buying signal</t>
        </is>
      </c>
      <c r="I58" s="133">
        <f>IF(H58="","",VLOOKUP(H58,Rubric!$A$63:$B$65,2,FALSE()))</f>
        <v/>
      </c>
      <c r="J58" s="133" t="inlineStr">
        <is>
          <t>No – no recent entrants</t>
        </is>
      </c>
      <c r="K58" s="133">
        <f>IF(J58="","",VLOOKUP(J58,Rubric!$A$69:$B$71,2,FALSE()))</f>
        <v/>
      </c>
      <c r="L58" s="133">
        <f>IF(COUNT(G58,I58,K58)=0,"",SUM(G58,I58,K58))</f>
        <v/>
      </c>
      <c r="M58" s="133" t="n">
        <v>40</v>
      </c>
      <c r="N58" s="133">
        <f>IF(M58="","",VLOOKUP(M58,Rubric!$A$44:$B$47,2,TRUE()))</f>
        <v/>
      </c>
      <c r="O58" s="133" t="inlineStr">
        <is>
          <t>Some – 1–2 recurring complaints</t>
        </is>
      </c>
      <c r="P58" s="133">
        <f>IF(O58="","",VLOOKUP(O58,Rubric!$A$75:$B$77,2,FALSE()))</f>
        <v/>
      </c>
      <c r="Q58" s="133" t="n">
        <v>18</v>
      </c>
      <c r="R58" s="133">
        <f>IF(Q58="","",Q58/Rubric!$B$7)</f>
        <v/>
      </c>
      <c r="S58" s="133">
        <f>IF(R58="","",VLOOKUP(R58,Rubric!$A$51:$B$53,2,TRUE()))</f>
        <v/>
      </c>
      <c r="T58" s="133">
        <f>IF(COUNT(N58,P58,S58)=0,"",SUM(N58,P58,S58))</f>
        <v/>
      </c>
      <c r="U58" s="133" t="n">
        <v>2.5</v>
      </c>
      <c r="V58" s="133">
        <f>IF(U58="","",VLOOKUP(MAX(U58,0),Rubric!$A$57:$B$59,2,TRUE()))</f>
        <v/>
      </c>
      <c r="W58" s="133" t="n"/>
      <c r="X58" s="133" t="n"/>
      <c r="Y58" s="133">
        <f>IF(OR(W58="",X58=""),"",IF(AND(W58&gt;=Rubric!$B$8,W58&lt;=Rubric!$B$9),IF(Rubric!$B$13=1,(W58-X58*Rubric!$B$12)*Rubric!$B$10,W58*Rubric!$B$10-X58*Rubric!$B$12),W58*Rubric!$B$11))</f>
        <v/>
      </c>
      <c r="Z58" s="133">
        <f>IF($B58="","",IF(AND(W58="",X58=""),7,IF(OR(W58="",X58=""),"",IF(X58&gt;Rubric!$B$17,0,IF(AND(Y58&gt;Rubric!$B$14,X58&lt;Rubric!$B$15),7,IF(Y58&gt;Rubric!$B$16,4,0))))))</f>
        <v/>
      </c>
      <c r="AA58" s="133" t="inlineStr">
        <is>
          <t>Low – utility log or workbook, &lt;2%</t>
        </is>
      </c>
      <c r="AB58" s="133">
        <f>IF(AA58="","",VLOOKUP(AA58,Rubric!$A$81:$B$83,2,FALSE()))</f>
        <v/>
      </c>
      <c r="AC58" s="133">
        <f>IF(COUNT(V58,Z58,AB58)=0,"",SUM(V58,Z58,AB58))</f>
        <v/>
      </c>
      <c r="AD58" s="133" t="inlineStr">
        <is>
          <t>Low – custom illustration or heavy manual work</t>
        </is>
      </c>
      <c r="AE58" s="133">
        <f>IF(AD58="","",VLOOKUP(AD58,Rubric!$A$87:$B$89,2,FALSE()))</f>
        <v/>
      </c>
      <c r="AF58" s="133" t="inlineStr">
        <is>
          <t>High – research-intensive, fact-checking heavy</t>
        </is>
      </c>
      <c r="AG58" s="133">
        <f>IF(AF58="","",VLOOKUP(AF58,Rubric!$A$93:$C$96,2,FALSE()))</f>
        <v/>
      </c>
      <c r="AH58" s="133">
        <f>IF(COUNT(AE58,AG58)=0,"",SUM(AE58,AG58))</f>
        <v/>
      </c>
      <c r="AI58" s="133" t="inlineStr">
        <is>
          <t>3–4 cluster titles</t>
        </is>
      </c>
      <c r="AJ58" s="133">
        <f>IF(AI58="","",VLOOKUP(AI58,Rubric!$A$100:$B$102,2,FALSE()))</f>
        <v/>
      </c>
      <c r="AK58" s="133" t="inlineStr">
        <is>
          <t>2 channels with distinct uses</t>
        </is>
      </c>
      <c r="AL58" s="133">
        <f>IF(AK58="","",VLOOKUP(AK58,Rubric!$A$106:$B$108,2,FALSE()))</f>
        <v/>
      </c>
      <c r="AM58" s="133">
        <f>IF(COUNT(AJ58,AL58)=0,"",SUM(AJ58,AL58))</f>
        <v/>
      </c>
      <c r="AN58" s="133">
        <f>IF($B58="","",SUM(L58,T58,AC58,AH58,AM58))</f>
        <v/>
      </c>
      <c r="AO58" s="133" t="n"/>
      <c r="AP58" s="133" t="n"/>
      <c r="AQ58" s="133" t="n"/>
      <c r="AR58" s="133">
        <f>IF(OR(W58="",X58=""),"",IF(OR(X58&gt;Rubric!$B$19,Y58&lt;Rubric!$B$18),"VETO",""))</f>
        <v/>
      </c>
      <c r="AS58" s="133">
        <f>IF(AF58="","",IF(VLOOKUP(AF58,Rubric!$A$93:$C$96,3,FALSE())="Yes","VETO",""))</f>
        <v/>
      </c>
      <c r="AT58" s="133">
        <f>IF($B58="","",IF(OR(AO58="Yes",AP58="Yes",AQ58="Yes",AR58="VETO",AS58="VETO"),"VETO",""))</f>
        <v/>
      </c>
      <c r="AU58" s="133">
        <f>IF($B58="","",12-COUNTA(F58,H58,J58,M58,O58,Q58,U58,AA58,AD58,AF58,AI58,AK58)+IF(AND(OR(W58="",X58=""),NOT(AND(W58="",X58=""))),1,0))</f>
        <v/>
      </c>
      <c r="AV58" s="133">
        <f>IF($B58="","",IF(AT58="VETO","Rejected – veto",IF(AU58&gt;0,"Incomplete ("&amp;AU58&amp;" missing)",IF(AN58&gt;=Rubric!$B$5,"Tier 1 – Approved",IF(AN58&gt;=Rubric!$B$6,"Tier 2 – Watchlist","Tier 3 – Rejected")))))</f>
        <v/>
      </c>
      <c r="AW58" s="133">
        <f>IF(OR($B58="",AT58="VETO"),"",IF(AU58&gt;0,"",1+SUMPRODUCT(($B$6:$B$60&lt;&gt;"")*($AT$6:$AT$60&lt;&gt;"VETO")*($AU$6:$AU$60=0)*($AN$6:$AN$60&gt;AN58))))</f>
        <v/>
      </c>
      <c r="AX58" s="133" t="n"/>
      <c r="AY58" s="133" t="inlineStr">
        <is>
          <t>BSR top3 ~350000, reviews top10 ~40, generic 18/48. Intent Medium – topic with some buying signal, freshness No – no recent entrants, defect Some – 1–2 recurring complaints. Based on Amazon search sampling Oct 2026, subagent research, and category benchmarks.</t>
        </is>
      </c>
      <c r="AZ58" s="133" t="inlineStr">
        <is>
          <t>Amazon.com search Oct 7 2026; subagent BSR sampling; category BSR proxies; policy: KDP low-content guidelines.</t>
        </is>
      </c>
    </row>
    <row r="59">
      <c r="A59" s="133">
        <f>IF($B59="","",ROW()-5)</f>
        <v/>
      </c>
      <c r="B59" s="133" t="inlineStr">
        <is>
          <t>Balcony &amp; Small-Space Gardening Guide</t>
        </is>
      </c>
      <c r="C59" s="133" t="inlineStr">
        <is>
          <t>Small-space gardening</t>
        </is>
      </c>
      <c r="D59" s="133" t="inlineStr">
        <is>
          <t>Digital-first eBook</t>
        </is>
      </c>
      <c r="E59" s="227" t="n">
        <v>46302</v>
      </c>
      <c r="F59" s="133" t="n">
        <v>80000</v>
      </c>
      <c r="G59" s="133">
        <f>IF(F59="","",VLOOKUP(F59,Rubric!$A$37:$B$40,2,TRUE()))</f>
        <v/>
      </c>
      <c r="H59" s="133" t="inlineStr">
        <is>
          <t>High – specific problem + buying word</t>
        </is>
      </c>
      <c r="I59" s="133">
        <f>IF(H59="","",VLOOKUP(H59,Rubric!$A$63:$B$65,2,FALSE()))</f>
        <v/>
      </c>
      <c r="J59" s="133" t="inlineStr">
        <is>
          <t>Partial – new entrant but weak signals</t>
        </is>
      </c>
      <c r="K59" s="133">
        <f>IF(J59="","",VLOOKUP(J59,Rubric!$A$69:$B$71,2,FALSE()))</f>
        <v/>
      </c>
      <c r="L59" s="133">
        <f>IF(COUNT(G59,I59,K59)=0,"",SUM(G59,I59,K59))</f>
        <v/>
      </c>
      <c r="M59" s="133" t="n">
        <v>150</v>
      </c>
      <c r="N59" s="133">
        <f>IF(M59="","",VLOOKUP(M59,Rubric!$A$44:$B$47,2,TRUE()))</f>
        <v/>
      </c>
      <c r="O59" s="133" t="inlineStr">
        <is>
          <t>Some – 1–2 recurring complaints</t>
        </is>
      </c>
      <c r="P59" s="133">
        <f>IF(O59="","",VLOOKUP(O59,Rubric!$A$75:$B$77,2,FALSE()))</f>
        <v/>
      </c>
      <c r="Q59" s="133" t="n">
        <v>18</v>
      </c>
      <c r="R59" s="133">
        <f>IF(Q59="","",Q59/Rubric!$B$7)</f>
        <v/>
      </c>
      <c r="S59" s="133">
        <f>IF(R59="","",VLOOKUP(R59,Rubric!$A$51:$B$53,2,TRUE()))</f>
        <v/>
      </c>
      <c r="T59" s="133">
        <f>IF(COUNT(N59,P59,S59)=0,"",SUM(N59,P59,S59))</f>
        <v/>
      </c>
      <c r="U59" s="133" t="n">
        <v>3</v>
      </c>
      <c r="V59" s="133">
        <f>IF(U59="","",VLOOKUP(MAX(U59,0),Rubric!$A$57:$B$59,2,TRUE()))</f>
        <v/>
      </c>
      <c r="W59" s="133" t="n"/>
      <c r="X59" s="133" t="n"/>
      <c r="Y59" s="133">
        <f>IF(OR(W59="",X59=""),"",IF(AND(W59&gt;=Rubric!$B$8,W59&lt;=Rubric!$B$9),IF(Rubric!$B$13=1,(W59-X59*Rubric!$B$12)*Rubric!$B$10,W59*Rubric!$B$10-X59*Rubric!$B$12),W59*Rubric!$B$11))</f>
        <v/>
      </c>
      <c r="Z59" s="133">
        <f>IF($B59="","",IF(AND(W59="",X59=""),7,IF(OR(W59="",X59=""),"",IF(X59&gt;Rubric!$B$17,0,IF(AND(Y59&gt;Rubric!$B$14,X59&lt;Rubric!$B$15),7,IF(Y59&gt;Rubric!$B$16,4,0))))))</f>
        <v/>
      </c>
      <c r="AA59" s="133" t="inlineStr">
        <is>
          <t>Low – utility log or workbook, &lt;2%</t>
        </is>
      </c>
      <c r="AB59" s="133">
        <f>IF(AA59="","",VLOOKUP(AA59,Rubric!$A$81:$B$83,2,FALSE()))</f>
        <v/>
      </c>
      <c r="AC59" s="133">
        <f>IF(COUNT(V59,Z59,AB59)=0,"",SUM(V59,Z59,AB59))</f>
        <v/>
      </c>
      <c r="AD59" s="133" t="inlineStr">
        <is>
          <t>Low – custom illustration or heavy manual work</t>
        </is>
      </c>
      <c r="AE59" s="133">
        <f>IF(AD59="","",VLOOKUP(AD59,Rubric!$A$87:$B$89,2,FALSE()))</f>
        <v/>
      </c>
      <c r="AF59" s="133" t="inlineStr">
        <is>
          <t>Medium – how-to / educational accuracy</t>
        </is>
      </c>
      <c r="AG59" s="133">
        <f>IF(AF59="","",VLOOKUP(AF59,Rubric!$A$93:$C$96,2,FALSE()))</f>
        <v/>
      </c>
      <c r="AH59" s="133">
        <f>IF(COUNT(AE59,AG59)=0,"",SUM(AE59,AG59))</f>
        <v/>
      </c>
      <c r="AI59" s="133" t="inlineStr">
        <is>
          <t>3–4 cluster titles</t>
        </is>
      </c>
      <c r="AJ59" s="133">
        <f>IF(AI59="","",VLOOKUP(AI59,Rubric!$A$100:$B$102,2,FALSE()))</f>
        <v/>
      </c>
      <c r="AK59" s="133" t="inlineStr">
        <is>
          <t>2 channels with distinct uses</t>
        </is>
      </c>
      <c r="AL59" s="133">
        <f>IF(AK59="","",VLOOKUP(AK59,Rubric!$A$106:$B$108,2,FALSE()))</f>
        <v/>
      </c>
      <c r="AM59" s="133">
        <f>IF(COUNT(AJ59,AL59)=0,"",SUM(AJ59,AL59))</f>
        <v/>
      </c>
      <c r="AN59" s="133">
        <f>IF($B59="","",SUM(L59,T59,AC59,AH59,AM59))</f>
        <v/>
      </c>
      <c r="AO59" s="133" t="n"/>
      <c r="AP59" s="133" t="n"/>
      <c r="AQ59" s="133" t="n"/>
      <c r="AR59" s="133">
        <f>IF(OR(W59="",X59=""),"",IF(OR(X59&gt;Rubric!$B$19,Y59&lt;Rubric!$B$18),"VETO",""))</f>
        <v/>
      </c>
      <c r="AS59" s="133">
        <f>IF(AF59="","",IF(VLOOKUP(AF59,Rubric!$A$93:$C$96,3,FALSE())="Yes","VETO",""))</f>
        <v/>
      </c>
      <c r="AT59" s="133">
        <f>IF($B59="","",IF(OR(AO59="Yes",AP59="Yes",AQ59="Yes",AR59="VETO",AS59="VETO"),"VETO",""))</f>
        <v/>
      </c>
      <c r="AU59" s="133">
        <f>IF($B59="","",12-COUNTA(F59,H59,J59,M59,O59,Q59,U59,AA59,AD59,AF59,AI59,AK59)+IF(AND(OR(W59="",X59=""),NOT(AND(W59="",X59=""))),1,0))</f>
        <v/>
      </c>
      <c r="AV59" s="133">
        <f>IF($B59="","",IF(AT59="VETO","Rejected – veto",IF(AU59&gt;0,"Incomplete ("&amp;AU59&amp;" missing)",IF(AN59&gt;=Rubric!$B$5,"Tier 1 – Approved",IF(AN59&gt;=Rubric!$B$6,"Tier 2 – Watchlist","Tier 3 – Rejected")))))</f>
        <v/>
      </c>
      <c r="AW59" s="133">
        <f>IF(OR($B59="",AT59="VETO"),"",IF(AU59&gt;0,"",1+SUMPRODUCT(($B$6:$B$60&lt;&gt;"")*($AT$6:$AT$60&lt;&gt;"VETO")*($AU$6:$AU$60=0)*($AN$6:$AN$60&gt;AN59))))</f>
        <v/>
      </c>
      <c r="AX59" s="133" t="n"/>
      <c r="AY59" s="133" t="inlineStr">
        <is>
          <t>BSR top3 ~80000, reviews top10 ~150, generic 18/48. Intent High – specific problem + buying word, freshness Partial – new entrant but weak signals, defect Some – 1–2 recurring complaints. Based on Amazon search sampling Oct 2026, subagent research, and category benchmarks.</t>
        </is>
      </c>
      <c r="AZ59" s="133" t="inlineStr">
        <is>
          <t>Amazon.com search Oct 7 2026; subagent BSR sampling; category BSR proxies; policy: KDP low-content guidelines.</t>
        </is>
      </c>
    </row>
    <row r="60">
      <c r="A60" s="133">
        <f>IF($B60="","",ROW()-5)</f>
        <v/>
      </c>
      <c r="B60" s="133" t="inlineStr">
        <is>
          <t>Work Order &amp; Maintenance Workflow for Small Service Businesses</t>
        </is>
      </c>
      <c r="C60" s="133" t="inlineStr">
        <is>
          <t>Small service business operations</t>
        </is>
      </c>
      <c r="D60" s="133" t="inlineStr">
        <is>
          <t>Digital-first eBook</t>
        </is>
      </c>
      <c r="E60" s="227" t="n">
        <v>46302</v>
      </c>
      <c r="F60" s="133" t="n">
        <v>400000</v>
      </c>
      <c r="G60" s="133">
        <f>IF(F60="","",VLOOKUP(F60,Rubric!$A$37:$B$40,2,TRUE()))</f>
        <v/>
      </c>
      <c r="H60" s="133" t="inlineStr">
        <is>
          <t>Medium – topic with some buying signal</t>
        </is>
      </c>
      <c r="I60" s="133">
        <f>IF(H60="","",VLOOKUP(H60,Rubric!$A$63:$B$65,2,FALSE()))</f>
        <v/>
      </c>
      <c r="J60" s="133" t="inlineStr">
        <is>
          <t>No – no recent entrants</t>
        </is>
      </c>
      <c r="K60" s="133">
        <f>IF(J60="","",VLOOKUP(J60,Rubric!$A$69:$B$71,2,FALSE()))</f>
        <v/>
      </c>
      <c r="L60" s="133">
        <f>IF(COUNT(G60,I60,K60)=0,"",SUM(G60,I60,K60))</f>
        <v/>
      </c>
      <c r="M60" s="133" t="n">
        <v>20</v>
      </c>
      <c r="N60" s="133">
        <f>IF(M60="","",VLOOKUP(M60,Rubric!$A$44:$B$47,2,TRUE()))</f>
        <v/>
      </c>
      <c r="O60" s="133" t="inlineStr">
        <is>
          <t>Some – 1–2 recurring complaints</t>
        </is>
      </c>
      <c r="P60" s="133">
        <f>IF(O60="","",VLOOKUP(O60,Rubric!$A$75:$B$77,2,FALSE()))</f>
        <v/>
      </c>
      <c r="Q60" s="133" t="n">
        <v>26</v>
      </c>
      <c r="R60" s="133">
        <f>IF(Q60="","",Q60/Rubric!$B$7)</f>
        <v/>
      </c>
      <c r="S60" s="133">
        <f>IF(R60="","",VLOOKUP(R60,Rubric!$A$51:$B$53,2,TRUE()))</f>
        <v/>
      </c>
      <c r="T60" s="133">
        <f>IF(COUNT(N60,P60,S60)=0,"",SUM(N60,P60,S60))</f>
        <v/>
      </c>
      <c r="U60" s="133" t="n">
        <v>3</v>
      </c>
      <c r="V60" s="133">
        <f>IF(U60="","",VLOOKUP(MAX(U60,0),Rubric!$A$57:$B$59,2,TRUE()))</f>
        <v/>
      </c>
      <c r="W60" s="133" t="n"/>
      <c r="X60" s="133" t="n"/>
      <c r="Y60" s="133">
        <f>IF(OR(W60="",X60=""),"",IF(AND(W60&gt;=Rubric!$B$8,W60&lt;=Rubric!$B$9),IF(Rubric!$B$13=1,(W60-X60*Rubric!$B$12)*Rubric!$B$10,W60*Rubric!$B$10-X60*Rubric!$B$12),W60*Rubric!$B$11))</f>
        <v/>
      </c>
      <c r="Z60" s="133">
        <f>IF($B60="","",IF(AND(W60="",X60=""),7,IF(OR(W60="",X60=""),"",IF(X60&gt;Rubric!$B$17,0,IF(AND(Y60&gt;Rubric!$B$14,X60&lt;Rubric!$B$15),7,IF(Y60&gt;Rubric!$B$16,4,0))))))</f>
        <v/>
      </c>
      <c r="AA60" s="133" t="inlineStr">
        <is>
          <t>Low – utility log or workbook, &lt;2%</t>
        </is>
      </c>
      <c r="AB60" s="133">
        <f>IF(AA60="","",VLOOKUP(AA60,Rubric!$A$81:$B$83,2,FALSE()))</f>
        <v/>
      </c>
      <c r="AC60" s="133">
        <f>IF(COUNT(V60,Z60,AB60)=0,"",SUM(V60,Z60,AB60))</f>
        <v/>
      </c>
      <c r="AD60" s="133" t="inlineStr">
        <is>
          <t>Partial – needs Book Studio or manual content</t>
        </is>
      </c>
      <c r="AE60" s="133">
        <f>IF(AD60="","",VLOOKUP(AD60,Rubric!$A$87:$B$89,2,FALSE()))</f>
        <v/>
      </c>
      <c r="AF60" s="133" t="inlineStr">
        <is>
          <t>Medium – how-to / educational accuracy</t>
        </is>
      </c>
      <c r="AG60" s="133">
        <f>IF(AF60="","",VLOOKUP(AF60,Rubric!$A$93:$C$96,2,FALSE()))</f>
        <v/>
      </c>
      <c r="AH60" s="133">
        <f>IF(COUNT(AE60,AG60)=0,"",SUM(AE60,AG60))</f>
        <v/>
      </c>
      <c r="AI60" s="133" t="inlineStr">
        <is>
          <t>3–4 cluster titles</t>
        </is>
      </c>
      <c r="AJ60" s="133">
        <f>IF(AI60="","",VLOOKUP(AI60,Rubric!$A$100:$B$102,2,FALSE()))</f>
        <v/>
      </c>
      <c r="AK60" s="133" t="inlineStr">
        <is>
          <t>2 channels with distinct uses</t>
        </is>
      </c>
      <c r="AL60" s="133">
        <f>IF(AK60="","",VLOOKUP(AK60,Rubric!$A$106:$B$108,2,FALSE()))</f>
        <v/>
      </c>
      <c r="AM60" s="133">
        <f>IF(COUNT(AJ60,AL60)=0,"",SUM(AJ60,AL60))</f>
        <v/>
      </c>
      <c r="AN60" s="133">
        <f>IF($B60="","",SUM(L60,T60,AC60,AH60,AM60))</f>
        <v/>
      </c>
      <c r="AO60" s="133" t="n"/>
      <c r="AP60" s="133" t="n"/>
      <c r="AQ60" s="133" t="n"/>
      <c r="AR60" s="133">
        <f>IF(OR(W60="",X60=""),"",IF(OR(X60&gt;Rubric!$B$19,Y60&lt;Rubric!$B$18),"VETO",""))</f>
        <v/>
      </c>
      <c r="AS60" s="133">
        <f>IF(AF60="","",IF(VLOOKUP(AF60,Rubric!$A$93:$C$96,3,FALSE())="Yes","VETO",""))</f>
        <v/>
      </c>
      <c r="AT60" s="133">
        <f>IF($B60="","",IF(OR(AO60="Yes",AP60="Yes",AQ60="Yes",AR60="VETO",AS60="VETO"),"VETO",""))</f>
        <v/>
      </c>
      <c r="AU60" s="133">
        <f>IF($B60="","",12-COUNTA(F60,H60,J60,M60,O60,Q60,U60,AA60,AD60,AF60,AI60,AK60)+IF(AND(OR(W60="",X60=""),NOT(AND(W60="",X60=""))),1,0))</f>
        <v/>
      </c>
      <c r="AV60" s="133">
        <f>IF($B60="","",IF(AT60="VETO","Rejected – veto",IF(AU60&gt;0,"Incomplete ("&amp;AU60&amp;" missing)",IF(AN60&gt;=Rubric!$B$5,"Tier 1 – Approved",IF(AN60&gt;=Rubric!$B$6,"Tier 2 – Watchlist","Tier 3 – Rejected")))))</f>
        <v/>
      </c>
      <c r="AW60" s="133">
        <f>IF(OR($B60="",AT60="VETO"),"",IF(AU60&gt;0,"",1+SUMPRODUCT(($B$6:$B$60&lt;&gt;"")*($AT$6:$AT$60&lt;&gt;"VETO")*($AU$6:$AU$60=0)*($AN$6:$AN$60&gt;AN60))))</f>
        <v/>
      </c>
      <c r="AX60" s="133" t="n"/>
      <c r="AY60" s="133" t="inlineStr">
        <is>
          <t>BSR top3 ~400000, reviews top10 ~20, generic 26/48. Intent Medium – topic with some buying signal, freshness No – no recent entrants, defect Some – 1–2 recurring complaints. Based on Amazon search sampling Oct 2026, subagent research, and category benchmarks.</t>
        </is>
      </c>
      <c r="AZ60" s="133" t="inlineStr">
        <is>
          <t>Amazon.com search Oct 7 2026; subagent BSR sampling; category BSR proxies; policy: KDP low-content guidelines.</t>
        </is>
      </c>
    </row>
  </sheetData>
  <mergeCells count="8">
    <mergeCell ref="AO3:AT3"/>
    <mergeCell ref="U3:AC3"/>
    <mergeCell ref="AI3:AM3"/>
    <mergeCell ref="AD3:AH3"/>
    <mergeCell ref="AU3:AZ3"/>
    <mergeCell ref="F3:L3"/>
    <mergeCell ref="A2:T2"/>
    <mergeCell ref="M3:T3"/>
  </mergeCells>
  <conditionalFormatting sqref="AV5:AV35">
    <cfRule type="expression" rank="0" priority="2" equalAverage="0" aboveAverage="0" dxfId="0" percent="0" bottom="0">
      <formula>LEFT($AV5,6)="Tier 1"</formula>
    </cfRule>
    <cfRule type="expression" rank="0" priority="3" equalAverage="0" aboveAverage="0" dxfId="1" percent="0" bottom="0">
      <formula>LEFT($AV5,6)="Tier 2"</formula>
    </cfRule>
    <cfRule type="expression" rank="0" priority="4" equalAverage="0" aboveAverage="0" dxfId="2" percent="0" bottom="0">
      <formula>OR(LEFT($AV5,6)="Tier 3",LEFT($AV5,8)="Rejected")</formula>
    </cfRule>
    <cfRule type="expression" rank="0" priority="5" equalAverage="0" aboveAverage="0" dxfId="3" percent="0" bottom="0">
      <formula>LEFT($AV5,10)="Incomplete"</formula>
    </cfRule>
  </conditionalFormatting>
  <conditionalFormatting sqref="AR5:AT35">
    <cfRule type="expression" rank="0" priority="6" equalAverage="0" aboveAverage="0" dxfId="2" percent="0" bottom="0">
      <formula>AR5="VETO"</formula>
    </cfRule>
  </conditionalFormatting>
  <dataValidations count="19">
    <dataValidation sqref="D5:D35" showDropDown="0" showInputMessage="0" showErrorMessage="1" allowBlank="0" errorTitle="Pick from the list" error="Choose one of the dropdown options." type="list" errorStyle="stop" operator="between">
      <formula1>Rubric!$A$115:$A$118</formula1>
      <formula2>0</formula2>
    </dataValidation>
    <dataValidation sqref="H5:H35" showDropDown="0" showInputMessage="1" showErrorMessage="1" allowBlank="0" errorTitle="Pick from the list" error="Choose one of the dropdown options." promptTitle="Tip" prompt="Does the search phrase name a specific problem and a buying word (log, workbook, tracker)?" type="list" errorStyle="stop" operator="between">
      <formula1>Rubric!$A$63:$A$65</formula1>
      <formula2>0</formula2>
    </dataValidation>
    <dataValidation sqref="J5:J35" showDropDown="0" showInputMessage="1" showErrorMessage="1" allowBlank="0" errorTitle="Pick from the list" error="Choose one of the dropdown options." promptTitle="Tip" prompt="Look at publication dates in the top 20 results." type="list" errorStyle="stop" operator="between">
      <formula1>Rubric!$A$69:$A$71</formula1>
      <formula2>0</formula2>
    </dataValidation>
    <dataValidation sqref="O5:O35" showDropDown="0" showInputMessage="1" showErrorMessage="1" allowBlank="0" errorTitle="Pick from the list" error="Choose one of the dropdown options." promptTitle="Tip" prompt="Read 1–3 star reviews of the top 10 and tally recurring complaints." type="list" errorStyle="stop" operator="between">
      <formula1>Rubric!$A$75:$A$77</formula1>
      <formula2>0</formula2>
    </dataValidation>
    <dataValidation sqref="AA5:AA35" showDropDown="0" showInputMessage="0" showErrorMessage="1" allowBlank="0" errorTitle="Pick from the list" error="Choose one of the dropdown options." type="list" errorStyle="stop" operator="between">
      <formula1>Rubric!$A$81:$A$83</formula1>
      <formula2>0</formula2>
    </dataValidation>
    <dataValidation sqref="AD5:AD35" showDropDown="0" showInputMessage="0" showErrorMessage="1" allowBlank="0" errorTitle="Pick from the list" error="Choose one of the dropdown options." type="list" errorStyle="stop" operator="between">
      <formula1>Rubric!$A$87:$A$89</formula1>
      <formula2>0</formula2>
    </dataValidation>
    <dataValidation sqref="AF5:AF35" showDropDown="0" showInputMessage="1" showErrorMessage="1" allowBlank="0" errorTitle="Pick from the list" error="Choose one of the dropdown options." promptTitle="Tip" prompt="YMYL (medical, legal, financial advice) is an automatic veto." type="list" errorStyle="stop" operator="between">
      <formula1>Rubric!$A$93:$A$96</formula1>
      <formula2>0</formula2>
    </dataValidation>
    <dataValidation sqref="AI5:AI35" showDropDown="0" showInputMessage="0" showErrorMessage="1" allowBlank="0" errorTitle="Pick from the list" error="Choose one of the dropdown options." type="list" errorStyle="stop" operator="between">
      <formula1>Rubric!$A$100:$A$102</formula1>
      <formula2>0</formula2>
    </dataValidation>
    <dataValidation sqref="AK5:AK35" showDropDown="0" showInputMessage="1" showErrorMessage="1" allowBlank="0" errorTitle="Pick from the list" error="Choose one of the dropdown options." promptTitle="Tip" prompt="Paperback, eBook and a printable only count if each serves a different use." type="list" errorStyle="stop" operator="between">
      <formula1>Rubric!$A$106:$A$108</formula1>
      <formula2>0</formula2>
    </dataValidation>
    <dataValidation sqref="AO5:AO35" showDropDown="0" showInputMessage="0" showErrorMessage="1" allowBlank="0" errorTitle="Pick from the list" error="Choose one of the dropdown options." type="list" errorStyle="stop" operator="between">
      <formula1>Rubric!$A$111:$A$112</formula1>
      <formula2>0</formula2>
    </dataValidation>
    <dataValidation sqref="AP5:AP35" showDropDown="0" showInputMessage="0" showErrorMessage="1" allowBlank="0" errorTitle="Pick from the list" error="Choose one of the dropdown options." type="list" errorStyle="stop" operator="between">
      <formula1>Rubric!$A$111:$A$112</formula1>
      <formula2>0</formula2>
    </dataValidation>
    <dataValidation sqref="AQ5:AQ35" showDropDown="0" showInputMessage="0" showErrorMessage="1" allowBlank="0" errorTitle="Pick from the list" error="Choose one of the dropdown options." type="list" errorStyle="stop" operator="between">
      <formula1>Rubric!$A$111:$A$112</formula1>
      <formula2>0</formula2>
    </dataValidation>
    <dataValidation sqref="AX5:AX35" showDropDown="0" showInputMessage="0" showErrorMessage="1" allowBlank="0" errorTitle="Pick from the list" error="Choose one of the dropdown options." type="list" errorStyle="stop" operator="between">
      <formula1>Rubric!$A$133:$A$136</formula1>
      <formula2>0</formula2>
    </dataValidation>
    <dataValidation sqref="F5:F35" showDropDown="0" showInputMessage="0" showErrorMessage="1" allowBlank="0" error="Enter the average BSR of the top 3 results (whole number)." type="decimal" errorStyle="stop" operator="between">
      <formula1>1</formula1>
      <formula2>100000000</formula2>
    </dataValidation>
    <dataValidation sqref="M5:M35" showDropDown="0" showInputMessage="0" showErrorMessage="1" allowBlank="0" error="Enter the average review count of the top 10 results." type="decimal" errorStyle="stop" operator="between">
      <formula1>0</formula1>
      <formula2>1000000</formula2>
    </dataValidation>
    <dataValidation sqref="Q5:Q35" showDropDown="0" showInputMessage="0" showErrorMessage="1" allowBlank="0" error="Count of generic look-alike covers among the first 48 results (0–48)." type="decimal" errorStyle="stop" operator="between">
      <formula1>0</formula1>
      <formula2>48</formula2>
    </dataValidation>
    <dataValidation sqref="U5:U35" showDropDown="0" showInputMessage="0" showErrorMessage="1" allowBlank="0" error="Enter a number." type="decimal" errorStyle="stop" operator="greaterThanOrEqual">
      <formula1>-100</formula1>
      <formula2>0</formula2>
    </dataValidation>
    <dataValidation sqref="W5:X35" showDropDown="0" showInputMessage="0" showErrorMessage="1" allowBlank="0" error="Enter a number." type="decimal" errorStyle="stop" operator="greaterThanOrEqual">
      <formula1>0</formula1>
      <formula2>0</formula2>
    </dataValidation>
    <dataValidation sqref="E5:E35" showDropDown="0" showInputMessage="0" showErrorMessage="1" allowBlank="0" error="Enter a date." type="date" errorStyle="stop" operator="greaterThan">
      <formula1>36526</formula1>
      <formula2>0</formula2>
    </dataValidation>
  </dataValidations>
  <pageMargins left="0.7" right="0.7" top="0.75" bottom="0.75" header="0.3" footer="0.3"/>
  <legacyDrawing xmlns:r="http://schemas.openxmlformats.org/officeDocument/2006/relationships" r:id="anysvml"/>
</worksheet>
</file>

<file path=xl/worksheets/sheet3.xml><?xml version="1.0" encoding="utf-8"?>
<worksheet xmlns="http://schemas.openxmlformats.org/spreadsheetml/2006/main">
  <sheetPr>
    <tabColor rgb="FF548235"/>
    <outlinePr summaryBelow="1" summaryRight="1"/>
    <pageSetUpPr/>
  </sheetPr>
  <dimension ref="A1:H27"/>
  <sheetViews>
    <sheetView showGridLines="1" workbookViewId="0">
      <selection activeCell="A1" sqref="A1"/>
    </sheetView>
  </sheetViews>
  <sheetFormatPr baseColWidth="8" defaultColWidth="8.6796875" defaultRowHeight="15"/>
  <cols>
    <col width="52" customWidth="1" style="133" min="1" max="1"/>
    <col width="16" customWidth="1" style="133" min="2" max="2"/>
    <col width="14" customWidth="1" style="133" min="3" max="3"/>
    <col width="18" customWidth="1" style="133" min="4" max="4"/>
    <col width="16" customWidth="1" style="133" min="5" max="5"/>
    <col width="14" customWidth="1" style="133" min="6" max="6"/>
    <col width="22" customWidth="1" style="133" min="7" max="7"/>
    <col width="70" customWidth="1" style="133" min="8" max="8"/>
  </cols>
  <sheetData>
    <row r="1" ht="17.35000038146973" customHeight="1" s="198">
      <c r="A1" s="139" t="inlineStr">
        <is>
          <t>Slot ledger – plan v1.1 ranges against what you actually published</t>
        </is>
      </c>
    </row>
    <row r="2" ht="30" customHeight="1" s="198">
      <c r="A2" s="135" t="inlineStr">
        <is>
          <t>Ranges are ceilings, not quotas: unused slots are fine. Plan ranges come from section 5.2 of the Publishing Business Plan v1.1 (yellow = editable). 'Published' counts update from the Scoreboard sheet.</t>
        </is>
      </c>
    </row>
    <row r="4" ht="23.85000038146973" customHeight="1" s="198">
      <c r="A4" s="148" t="inlineStr">
        <is>
          <t>Paperback bucket</t>
        </is>
      </c>
      <c r="B4" s="148" t="inlineStr">
        <is>
          <t>Plan min</t>
        </is>
      </c>
      <c r="C4" s="148" t="inlineStr">
        <is>
          <t>Plan max</t>
        </is>
      </c>
      <c r="D4" s="148" t="inlineStr">
        <is>
          <t>Published (paperback)</t>
        </is>
      </c>
      <c r="E4" s="148" t="inlineStr">
        <is>
          <t>Remaining to max</t>
        </is>
      </c>
      <c r="F4" s="148" t="inlineStr">
        <is>
          <t>% of max used</t>
        </is>
      </c>
      <c r="G4" s="148" t="inlineStr">
        <is>
          <t>Status</t>
        </is>
      </c>
      <c r="H4" s="148" t="inlineStr">
        <is>
          <t>Note</t>
        </is>
      </c>
    </row>
    <row r="5" ht="15" customHeight="1" s="198">
      <c r="A5" s="137" t="inlineStr">
        <is>
          <t>Flagship</t>
        </is>
      </c>
      <c r="B5" s="166" t="n">
        <v>12</v>
      </c>
      <c r="C5" s="166" t="n">
        <v>12</v>
      </c>
      <c r="D5" s="160">
        <f>COUNTIFS(Scoreboard!$E$9:$E$58,"Paperback",Scoreboard!$F$9:$F$58,A5)</f>
        <v/>
      </c>
      <c r="E5" s="160">
        <f>MAX(0,C5-D5)</f>
        <v/>
      </c>
      <c r="F5" s="167">
        <f>IF(C5=0,"",D5/C5)</f>
        <v/>
      </c>
      <c r="G5" s="161">
        <f>IF(D5&gt;C5,"Over plan – review",IF(D5=0,"Not started",IF(D5&lt;B5,"Building toward minimum","Within range")))</f>
        <v/>
      </c>
      <c r="H5" s="138" t="inlineStr">
        <is>
          <t>Baseline of 12; raise only after the first six prove the pipeline.</t>
        </is>
      </c>
    </row>
    <row r="6" ht="15" customHeight="1" s="198">
      <c r="A6" s="137" t="inlineStr">
        <is>
          <t>Medium-content</t>
        </is>
      </c>
      <c r="B6" s="166" t="n">
        <v>30</v>
      </c>
      <c r="C6" s="166" t="n">
        <v>40</v>
      </c>
      <c r="D6" s="160">
        <f>COUNTIFS(Scoreboard!$E$9:$E$58,"Paperback",Scoreboard!$F$9:$F$58,A6)</f>
        <v/>
      </c>
      <c r="E6" s="160">
        <f>MAX(0,C6-D6)</f>
        <v/>
      </c>
      <c r="F6" s="167">
        <f>IF(C6=0,"",D6/C6)</f>
        <v/>
      </c>
      <c r="G6" s="161">
        <f>IF(D6&gt;C6,"Over plan – review",IF(D6=0,"Not started",IF(D6&lt;B6,"Building toward minimum","Within range")))</f>
        <v/>
      </c>
      <c r="H6" s="138" t="inlineStr">
        <is>
          <t>Wider moat, but only in specific niches (see the saturation warning in plan section 5.1).</t>
        </is>
      </c>
    </row>
    <row r="7" ht="15" customHeight="1" s="198">
      <c r="A7" s="137" t="inlineStr">
        <is>
          <t>Low-content</t>
        </is>
      </c>
      <c r="B7" s="166" t="n">
        <v>10</v>
      </c>
      <c r="C7" s="166" t="n">
        <v>20</v>
      </c>
      <c r="D7" s="160">
        <f>COUNTIFS(Scoreboard!$E$9:$E$58,"Paperback",Scoreboard!$F$9:$F$58,A7)</f>
        <v/>
      </c>
      <c r="E7" s="160">
        <f>MAX(0,C7-D7)</f>
        <v/>
      </c>
      <c r="F7" s="167">
        <f>IF(C7=0,"",D7/C7)</f>
        <v/>
      </c>
      <c r="G7" s="161">
        <f>IF(D7&gt;C7,"Over plan – review",IF(D7=0,"Not started",IF(D7&lt;B7,"Building toward minimum","Within range")))</f>
        <v/>
      </c>
      <c r="H7" s="138" t="inlineStr">
        <is>
          <t>Starts small; grows only if early titles earn.</t>
        </is>
      </c>
    </row>
    <row r="8" ht="23.85000038146973" customHeight="1" s="198">
      <c r="A8" s="137" t="inlineStr">
        <is>
          <t>Open reserve</t>
        </is>
      </c>
      <c r="B8" s="166" t="n">
        <v>15</v>
      </c>
      <c r="C8" s="166" t="n">
        <v>20</v>
      </c>
      <c r="D8" s="160">
        <f>COUNTIFS(Scoreboard!$E$9:$E$58,"Paperback",Scoreboard!$F$9:$F$58,A8)</f>
        <v/>
      </c>
      <c r="E8" s="160">
        <f>MAX(0,C8-D8)</f>
        <v/>
      </c>
      <c r="F8" s="167">
        <f>IF(C8=0,"",D8/C8)</f>
        <v/>
      </c>
      <c r="G8" s="161">
        <f>IF(D8&gt;C8,"Over plan – review",IF(D8=0,"Not started",IF(D8&lt;B8,"Building toward minimum","Within range")))</f>
        <v/>
      </c>
      <c r="H8" s="138" t="inlineStr">
        <is>
          <t>Opportunities, flagship spin-offs and replacements. Data moves slots between buckets.</t>
        </is>
      </c>
    </row>
    <row r="9" ht="15" customHeight="1" s="198">
      <c r="A9" s="168" t="inlineStr">
        <is>
          <t>Total</t>
        </is>
      </c>
      <c r="B9" s="164">
        <f>SUM(B5:B8)</f>
        <v/>
      </c>
      <c r="C9" s="164">
        <f>SUM(C5:C8)</f>
        <v/>
      </c>
      <c r="D9" s="164">
        <f>SUM(D5:D8)</f>
        <v/>
      </c>
      <c r="E9" s="164">
        <f>SUM(E5:E8)</f>
        <v/>
      </c>
      <c r="F9" s="169">
        <f>IF(C9=0,"",D9/C9)</f>
        <v/>
      </c>
      <c r="G9" s="170" t="n"/>
      <c r="H9" s="170" t="n"/>
    </row>
    <row r="10" ht="15" customHeight="1" s="198">
      <c r="A10" s="138" t="inlineStr">
        <is>
          <t>Yearly ceiling per format</t>
        </is>
      </c>
      <c r="B10" s="171">
        <f>Rubric!$B$33</f>
        <v/>
      </c>
    </row>
    <row r="11" ht="23.85000038146973" customHeight="1" s="198">
      <c r="A11" s="138" t="inlineStr">
        <is>
          <t>Headroom: ceiling minus sum of plan maxima (unspent by design)</t>
        </is>
      </c>
      <c r="B11" s="161">
        <f>B10-C9</f>
        <v/>
      </c>
      <c r="C11" s="172" t="inlineStr">
        <is>
          <t>Slots you plan not to use. This headroom is the buffer for rejections, re-uploads and opportunities.</t>
        </is>
      </c>
      <c r="D11" s="199" t="n"/>
      <c r="E11" s="199" t="n"/>
      <c r="F11" s="199" t="n"/>
      <c r="G11" s="199" t="n"/>
      <c r="H11" s="199" t="n"/>
    </row>
    <row r="13" ht="68.65000152587891" customHeight="1" s="198">
      <c r="A13" s="137" t="inlineStr">
        <is>
          <t>Plan year start</t>
        </is>
      </c>
      <c r="B13" s="173" t="n">
        <v>46300</v>
      </c>
      <c r="C13" s="135" t="inlineStr">
        <is>
          <t>Counts run for 365 days from this date. Change it if you define your year differently.</t>
        </is>
      </c>
    </row>
    <row r="15" ht="23.85000038146973" customHeight="1" s="198">
      <c r="A15" s="148" t="inlineStr">
        <is>
          <t>Format</t>
        </is>
      </c>
      <c r="B15" s="148" t="inlineStr">
        <is>
          <t>New titles this plan year</t>
        </is>
      </c>
      <c r="C15" s="148" t="inlineStr">
        <is>
          <t>Yearly ceiling</t>
        </is>
      </c>
      <c r="D15" s="148" t="inlineStr">
        <is>
          <t>Slots remaining</t>
        </is>
      </c>
      <c r="E15" s="148" t="inlineStr">
        <is>
          <t>% of ceiling used</t>
        </is>
      </c>
    </row>
    <row r="16" ht="15" customHeight="1" s="198">
      <c r="A16" s="137" t="inlineStr">
        <is>
          <t>Paperback</t>
        </is>
      </c>
      <c r="B16" s="160">
        <f>COUNTIFS(Scoreboard!$E$9:$E$58,A16,Scoreboard!$G$9:$G$58,"&gt;="&amp;$B$13,Scoreboard!$G$9:$G$58,"&lt;"&amp;($B$13+365))</f>
        <v/>
      </c>
      <c r="C16" s="171">
        <f>Rubric!$B$33</f>
        <v/>
      </c>
      <c r="D16" s="160">
        <f>C16-B16</f>
        <v/>
      </c>
      <c r="E16" s="167">
        <f>IF(C16=0,"",B16/C16)</f>
        <v/>
      </c>
    </row>
    <row r="17" ht="15" customHeight="1" s="198">
      <c r="A17" s="137" t="inlineStr">
        <is>
          <t>eBook</t>
        </is>
      </c>
      <c r="B17" s="160">
        <f>COUNTIFS(Scoreboard!$E$9:$E$58,A17,Scoreboard!$G$9:$G$58,"&gt;="&amp;$B$13,Scoreboard!$G$9:$G$58,"&lt;"&amp;($B$13+365))</f>
        <v/>
      </c>
      <c r="C17" s="171">
        <f>Rubric!$B$33</f>
        <v/>
      </c>
      <c r="D17" s="160">
        <f>C17-B17</f>
        <v/>
      </c>
      <c r="E17" s="167">
        <f>IF(C17=0,"",B17/C17)</f>
        <v/>
      </c>
    </row>
    <row r="18" ht="15" customHeight="1" s="198">
      <c r="A18" s="137" t="inlineStr">
        <is>
          <t>Hardcover</t>
        </is>
      </c>
      <c r="B18" s="160">
        <f>COUNTIFS(Scoreboard!$E$9:$E$58,A18,Scoreboard!$G$9:$G$58,"&gt;="&amp;$B$13,Scoreboard!$G$9:$G$58,"&lt;"&amp;($B$13+365))</f>
        <v/>
      </c>
      <c r="C18" s="171">
        <f>Rubric!$B$33</f>
        <v/>
      </c>
      <c r="D18" s="160">
        <f>C18-B18</f>
        <v/>
      </c>
      <c r="E18" s="167">
        <f>IF(C18=0,"",B18/C18)</f>
        <v/>
      </c>
    </row>
    <row r="20" ht="23.85000038146973" customHeight="1" s="198">
      <c r="A20" s="174" t="inlineStr">
        <is>
          <t>This week's limit (resets Sunday 12:00 AM UTC = 3:00 AM Cairo)</t>
        </is>
      </c>
    </row>
    <row r="21" ht="15" customHeight="1" s="198">
      <c r="A21" s="138" t="inlineStr">
        <is>
          <t>Week started (Sunday)</t>
        </is>
      </c>
      <c r="B21" s="175">
        <f>TODAY()-(WEEKDAY(TODAY(),1)-1)</f>
        <v/>
      </c>
    </row>
    <row r="22" ht="23.85000038146973" customHeight="1" s="198">
      <c r="A22" s="148" t="inlineStr">
        <is>
          <t>Format</t>
        </is>
      </c>
      <c r="B22" s="148" t="inlineStr">
        <is>
          <t>New titles this week</t>
        </is>
      </c>
      <c r="C22" s="148" t="inlineStr">
        <is>
          <t>Weekly limit</t>
        </is>
      </c>
      <c r="D22" s="148" t="inlineStr">
        <is>
          <t>Left this week</t>
        </is>
      </c>
      <c r="E22" s="148" t="inlineStr">
        <is>
          <t>Status</t>
        </is>
      </c>
    </row>
    <row r="23" ht="15" customHeight="1" s="198">
      <c r="A23" s="137" t="inlineStr">
        <is>
          <t>Paperback</t>
        </is>
      </c>
      <c r="B23" s="160">
        <f>COUNTIFS(Scoreboard!$E$9:$E$58,A23,Scoreboard!$G$9:$G$58,"&gt;="&amp;$B$21,Scoreboard!$G$9:$G$58,"&lt;"&amp;($B$21+7))</f>
        <v/>
      </c>
      <c r="C23" s="171">
        <f>Rubric!$B$32</f>
        <v/>
      </c>
      <c r="D23" s="160">
        <f>MAX(0,C23-B23)</f>
        <v/>
      </c>
      <c r="E23" s="161">
        <f>IF(B23&gt;C23,"Over limit – check dates",IF(D23=0,"At limit","Room for "&amp;D23))</f>
        <v/>
      </c>
    </row>
    <row r="24" ht="15" customHeight="1" s="198">
      <c r="A24" s="137" t="inlineStr">
        <is>
          <t>eBook</t>
        </is>
      </c>
      <c r="B24" s="160">
        <f>COUNTIFS(Scoreboard!$E$9:$E$58,A24,Scoreboard!$G$9:$G$58,"&gt;="&amp;$B$21,Scoreboard!$G$9:$G$58,"&lt;"&amp;($B$21+7))</f>
        <v/>
      </c>
      <c r="C24" s="171">
        <f>Rubric!$B$32</f>
        <v/>
      </c>
      <c r="D24" s="160">
        <f>MAX(0,C24-B24)</f>
        <v/>
      </c>
      <c r="E24" s="161">
        <f>IF(B24&gt;C24,"Over limit – check dates",IF(D24=0,"At limit","Room for "&amp;D24))</f>
        <v/>
      </c>
    </row>
    <row r="25" ht="15" customHeight="1" s="198">
      <c r="A25" s="137" t="inlineStr">
        <is>
          <t>Hardcover</t>
        </is>
      </c>
      <c r="B25" s="160">
        <f>COUNTIFS(Scoreboard!$E$9:$E$58,A25,Scoreboard!$G$9:$G$58,"&gt;="&amp;$B$21,Scoreboard!$G$9:$G$58,"&lt;"&amp;($B$21+7))</f>
        <v/>
      </c>
      <c r="C25" s="171">
        <f>Rubric!$B$32</f>
        <v/>
      </c>
      <c r="D25" s="160">
        <f>MAX(0,C25-B25)</f>
        <v/>
      </c>
      <c r="E25" s="161">
        <f>IF(B25&gt;C25,"Over limit – check dates",IF(D25=0,"At limit","Room for "&amp;D25))</f>
        <v/>
      </c>
    </row>
    <row r="27" ht="35.04999923706055" customHeight="1" s="198">
      <c r="A27" s="135" t="inlineStr">
        <is>
          <t>Enter the date each title was created or published on the Scoreboard sheet; the weekly count uses that date. Counts depend on honest, complete entries there.</t>
        </is>
      </c>
    </row>
  </sheetData>
  <mergeCells count="2">
    <mergeCell ref="C11:H11"/>
    <mergeCell ref="A2:H2"/>
  </mergeCells>
  <conditionalFormatting sqref="E23:E25">
    <cfRule type="expression" rank="0" priority="2" equalAverage="0" aboveAverage="0" dxfId="2" percent="0" bottom="0">
      <formula>OR($E23="At limit",LEFT($E23,4)="Over")</formula>
    </cfRule>
  </conditionalFormatting>
  <conditionalFormatting sqref="G5:G8">
    <cfRule type="expression" rank="0" priority="3" equalAverage="0" aboveAverage="0" dxfId="2" percent="0" bottom="0">
      <formula>LEFT($G5,4)="Over"</formula>
    </cfRule>
    <cfRule type="expression" rank="0" priority="4" equalAverage="0" aboveAverage="0" dxfId="4" percent="0" bottom="0">
      <formula>$G5="Within range"</formula>
    </cfRule>
  </conditionalFormatting>
  <pageMargins left="0.7" right="0.7" top="0.75" bottom="0.75" header="0.3" footer="0.3"/>
</worksheet>
</file>

<file path=xl/worksheets/sheet4.xml><?xml version="1.0" encoding="utf-8"?>
<worksheet xmlns="http://schemas.openxmlformats.org/spreadsheetml/2006/main">
  <sheetPr>
    <tabColor rgb="FFC55A11"/>
    <outlinePr summaryBelow="1" summaryRight="1"/>
    <pageSetUpPr/>
  </sheetPr>
  <dimension ref="A1:Y58"/>
  <sheetViews>
    <sheetView showGridLines="1" workbookViewId="0">
      <selection activeCell="A1" sqref="A1"/>
    </sheetView>
  </sheetViews>
  <sheetFormatPr baseColWidth="8" defaultColWidth="8.6796875" defaultRowHeight="15"/>
  <cols>
    <col width="7" customWidth="1" style="133" min="1" max="1"/>
    <col width="32" customWidth="1" style="133" min="2" max="2"/>
    <col width="30" customWidth="1" style="133" min="3" max="3"/>
    <col width="16" customWidth="1" style="133" min="4" max="4"/>
    <col width="11" customWidth="1" style="133" min="5" max="5"/>
    <col width="15" customWidth="1" style="133" min="6" max="6"/>
    <col width="12" customWidth="1" style="133" min="7" max="7"/>
    <col width="8" customWidth="1" style="133" min="8" max="8"/>
    <col width="28" customWidth="1" style="133" min="9" max="9"/>
    <col width="10" customWidth="1" style="133" min="10" max="11"/>
    <col width="12" customWidth="1" style="133" min="12" max="12"/>
    <col width="10" customWidth="1" style="133" min="13" max="13"/>
    <col width="13" customWidth="1" style="133" min="14" max="14"/>
    <col width="14" customWidth="1" style="133" min="15" max="15"/>
    <col width="9" customWidth="1" style="133" min="16" max="17"/>
    <col width="22" customWidth="1" style="133" min="18" max="18"/>
    <col width="18" customWidth="1" style="133" min="19" max="19"/>
    <col width="11" customWidth="1" style="133" min="20" max="20"/>
    <col width="8" customWidth="1" style="133" min="21" max="21"/>
    <col width="24" customWidth="1" style="133" min="22" max="22"/>
    <col width="52" customWidth="1" style="133" min="23" max="23"/>
    <col width="16" customWidth="1" style="133" min="24" max="24"/>
    <col width="40" customWidth="1" style="133" min="25" max="25"/>
  </cols>
  <sheetData>
    <row r="1" ht="17.35000038146973" customHeight="1" s="198">
      <c r="A1" s="139" t="inlineStr">
        <is>
          <t>Performance scoreboard – one row per published title</t>
        </is>
      </c>
    </row>
    <row r="2" ht="31.5" customHeight="1" s="198">
      <c r="A2" s="135" t="inlineStr">
        <is>
          <t>Update the yellow cells monthly from your KDP reports (units, returns, net royalty). Days live, audit dates, return rate, payback days and the status flag calculate themselves. Row 8 is an EXAMPLE – delete it. Thresholds are on the Rubric sheet and are provisional.</t>
        </is>
      </c>
    </row>
    <row r="4" ht="30" customHeight="1" s="198">
      <c r="A4" s="148" t="inlineStr">
        <is>
          <t>Titles tracked</t>
        </is>
      </c>
      <c r="C4" s="148" t="inlineStr">
        <is>
          <t>Total net royalty ($)</t>
        </is>
      </c>
      <c r="E4" s="148" t="inlineStr">
        <is>
          <t>GREEN: scale</t>
        </is>
      </c>
      <c r="G4" s="148" t="inlineStr">
        <is>
          <t>YELLOW: underperformer</t>
        </is>
      </c>
      <c r="I4" s="148" t="inlineStr">
        <is>
          <t>RED: stop investing</t>
        </is>
      </c>
      <c r="J4" s="148" t="inlineStr">
        <is>
          <t>QA review alerts</t>
        </is>
      </c>
    </row>
    <row r="5" ht="15" customHeight="1" s="198">
      <c r="A5" s="176">
        <f>COUNTA($B$9:$B$58)</f>
        <v/>
      </c>
      <c r="C5" s="177">
        <f>SUM($L$9:$L$58)</f>
        <v/>
      </c>
      <c r="E5" s="176">
        <f>COUNTIF($V$9:$V$58,"GREEN*")</f>
        <v/>
      </c>
      <c r="G5" s="176">
        <f>COUNTIF($V$9:$V$58,"YELLOW*")</f>
        <v/>
      </c>
      <c r="I5" s="176">
        <f>COUNTIF($V$9:$V$58,"RED*")</f>
        <v/>
      </c>
      <c r="J5" s="176">
        <f>COUNTIF($R$9:$R$58,"QA REVIEW")</f>
        <v/>
      </c>
    </row>
    <row r="7" ht="61.5" customHeight="1" s="198">
      <c r="A7" s="148" t="inlineStr">
        <is>
          <t>ID</t>
        </is>
      </c>
      <c r="B7" s="148" t="inlineStr">
        <is>
          <t>Title</t>
        </is>
      </c>
      <c r="C7" s="148" t="inlineStr">
        <is>
          <t>Source niche (from Scoring)</t>
        </is>
      </c>
      <c r="D7" s="148" t="inlineStr">
        <is>
          <t>Cluster</t>
        </is>
      </c>
      <c r="E7" s="148" t="inlineStr">
        <is>
          <t>Format</t>
        </is>
      </c>
      <c r="F7" s="148" t="inlineStr">
        <is>
          <t>Slot bucket</t>
        </is>
      </c>
      <c r="G7" s="148" t="inlineStr">
        <is>
          <t>Publish date</t>
        </is>
      </c>
      <c r="H7" s="148" t="inlineStr">
        <is>
          <t>Days live</t>
        </is>
      </c>
      <c r="I7" s="148" t="inlineStr">
        <is>
          <t>Next audit</t>
        </is>
      </c>
      <c r="J7" s="148" t="inlineStr">
        <is>
          <t>Units sold to date</t>
        </is>
      </c>
      <c r="K7" s="148" t="inlineStr">
        <is>
          <t>Units returned</t>
        </is>
      </c>
      <c r="L7" s="148" t="inlineStr">
        <is>
          <t>Net royalty to date ($)</t>
        </is>
      </c>
      <c r="M7" s="148" t="inlineStr">
        <is>
          <t>Units, last 30 days</t>
        </is>
      </c>
      <c r="N7" s="148" t="inlineStr">
        <is>
          <t>Consecutive days below winner BSR</t>
        </is>
      </c>
      <c r="O7" s="148" t="inlineStr">
        <is>
          <t>Date cumulative royalty hit payback target</t>
        </is>
      </c>
      <c r="P7" s="148" t="inlineStr">
        <is>
          <t>Slots spent (default 1)</t>
        </is>
      </c>
      <c r="Q7" s="148" t="inlineStr">
        <is>
          <t>Return rate</t>
        </is>
      </c>
      <c r="R7" s="148" t="inlineStr">
        <is>
          <t>Return alert</t>
        </is>
      </c>
      <c r="S7" s="148" t="inlineStr">
        <is>
          <t>Payback days</t>
        </is>
      </c>
      <c r="T7" s="148" t="inlineStr">
        <is>
          <t>Net royalty per slot ($)</t>
        </is>
      </c>
      <c r="U7" s="148" t="inlineStr">
        <is>
          <t>Niche score</t>
        </is>
      </c>
      <c r="V7" s="148" t="inlineStr">
        <is>
          <t>STATUS FLAG</t>
        </is>
      </c>
      <c r="W7" s="148" t="inlineStr">
        <is>
          <t>Next action</t>
        </is>
      </c>
      <c r="X7" s="148" t="inlineStr">
        <is>
          <t>ASIN / ISBN</t>
        </is>
      </c>
      <c r="Y7" s="148" t="inlineStr">
        <is>
          <t>Notes</t>
        </is>
      </c>
    </row>
    <row r="8" ht="30" customHeight="1" s="198">
      <c r="A8" s="150" t="inlineStr">
        <is>
          <t>EX</t>
        </is>
      </c>
      <c r="B8" s="150" t="inlineStr">
        <is>
          <t>EXAMPLE – delete this row</t>
        </is>
      </c>
      <c r="C8" s="150" t="n"/>
      <c r="D8" s="150" t="inlineStr">
        <is>
          <t>Example cluster</t>
        </is>
      </c>
      <c r="E8" s="150" t="inlineStr">
        <is>
          <t>Paperback</t>
        </is>
      </c>
      <c r="F8" s="150" t="inlineStr">
        <is>
          <t>Low-content</t>
        </is>
      </c>
      <c r="G8" s="151" t="n">
        <v>46174</v>
      </c>
      <c r="H8" s="178">
        <f>IF(G8="","",MAX(0,TODAY()-G8))</f>
        <v/>
      </c>
      <c r="I8" s="179">
        <f>IF(G8="","",IF(H8&lt;Rubric!$B$20,"Day "&amp;Rubric!$B$20&amp;" audit: "&amp;TEXT(G8+Rubric!$B$20,"yyyy-mm-dd"),IF(H8&lt;Rubric!$B$21,"Day "&amp;Rubric!$B$21&amp;" audit: "&amp;TEXT(G8+Rubric!$B$21,"yyyy-mm-dd"),IF(H8&lt;Rubric!$B$22,"Day "&amp;Rubric!$B$22&amp;" audit: "&amp;TEXT(G8+Rubric!$B$22,"yyyy-mm-dd"),"All audits done"))))</f>
        <v/>
      </c>
      <c r="J8" s="150" t="n">
        <v>2</v>
      </c>
      <c r="K8" s="150" t="n">
        <v>0</v>
      </c>
      <c r="L8" s="180" t="n">
        <v>6.4</v>
      </c>
      <c r="M8" s="150" t="n">
        <v>0</v>
      </c>
      <c r="N8" s="150" t="n">
        <v>0</v>
      </c>
      <c r="O8" s="151" t="n"/>
      <c r="P8" s="150" t="n">
        <v>1</v>
      </c>
      <c r="Q8" s="155">
        <f>IF(N(J8)=0,"",N(K8)/J8)</f>
        <v/>
      </c>
      <c r="R8" s="179">
        <f>IF(J8="","",IF(N(J8)&lt;Rubric!$B$31,"Too few sales to judge",IF(Q8&gt;Rubric!$B$28,"QA REVIEW",IF(Q8&gt;IF(F8="Flagship",Rubric!$B$29,Rubric!$B$30),"Watch","OK"))))</f>
        <v/>
      </c>
      <c r="S8" s="179">
        <f>IF(G8="","",IF(O8&lt;&gt;"",O8-G8,IF(N(L8)&gt;=Rubric!$B$24,"Reached – enter date","Not yet")))</f>
        <v/>
      </c>
      <c r="T8" s="181">
        <f>IF(OR(G8="",L8=""),"",L8/IF(N(P8)=0,1,P8))</f>
        <v/>
      </c>
      <c r="U8" s="178">
        <f>IF(C8="","",IFERROR(INDEX(Scoring!$AN$6:$AN$60,MATCH(C8,Scoring!$B$6:$B$60,0)),""))</f>
        <v/>
      </c>
      <c r="V8" s="159">
        <f>IF(G8="","",IF(OR(N(N8)&gt;=Rubric!$B$26,N(M8)&gt;Rubric!$B$27),"GREEN – Scale",IF(AND(H8&gt;=Rubric!$B$22,N(L8)&lt;Rubric!$B$24),"RED – Stop investing",IF(AND(H8&gt;=Rubric!$B$21,N(J8)&lt;Rubric!$B$23),"YELLOW – Underperformer",IF(H8&lt;Rubric!$B$21,"Too early","OK")))))</f>
        <v/>
      </c>
      <c r="W8" s="179">
        <f>IF(V8="","",IF(LEFT(V8,5)="GREEN","Spin off cluster titles; consider hardcover or Ingram if it is a flagship",IF(LEFT(V8,3)="RED","Stop investing (no ads, no cluster spin-offs); keep the listing live; log why: demand, competition or execution",IF(LEFT(V8,6)="YELLOW","Refresh cover, rewrite keywords, test price; re-score the niche",IF(V8="Too early","Wait for the day-"&amp;Rubric!$B$21&amp;" audit","Keep monitoring")))))</f>
        <v/>
      </c>
      <c r="X8" s="150" t="n"/>
      <c r="Y8" s="150" t="inlineStr">
        <is>
          <t>Illustrative numbers only.</t>
        </is>
      </c>
    </row>
    <row r="9" ht="30" customHeight="1" s="198">
      <c r="A9" s="150" t="n"/>
      <c r="B9" s="150" t="n"/>
      <c r="C9" s="150" t="n"/>
      <c r="D9" s="150" t="n"/>
      <c r="E9" s="150" t="n"/>
      <c r="F9" s="150" t="n"/>
      <c r="G9" s="151" t="n"/>
      <c r="H9" s="182">
        <f>IF(G9="","",MAX(0,TODAY()-G9))</f>
        <v/>
      </c>
      <c r="I9" s="183">
        <f>IF(G9="","",IF(H9&lt;Rubric!$B$20,"Day "&amp;Rubric!$B$20&amp;" audit: "&amp;TEXT(G9+Rubric!$B$20,"yyyy-mm-dd"),IF(H9&lt;Rubric!$B$21,"Day "&amp;Rubric!$B$21&amp;" audit: "&amp;TEXT(G9+Rubric!$B$21,"yyyy-mm-dd"),IF(H9&lt;Rubric!$B$22,"Day "&amp;Rubric!$B$22&amp;" audit: "&amp;TEXT(G9+Rubric!$B$22,"yyyy-mm-dd"),"All audits done"))))</f>
        <v/>
      </c>
      <c r="J9" s="150" t="n"/>
      <c r="K9" s="150" t="n"/>
      <c r="L9" s="180" t="n"/>
      <c r="M9" s="150" t="n"/>
      <c r="N9" s="150" t="n"/>
      <c r="O9" s="151" t="n"/>
      <c r="P9" s="150" t="n"/>
      <c r="Q9" s="162">
        <f>IF(N(J9)=0,"",N(K9)/J9)</f>
        <v/>
      </c>
      <c r="R9" s="183">
        <f>IF(J9="","",IF(N(J9)&lt;Rubric!$B$31,"Too few sales to judge",IF(Q9&gt;Rubric!$B$28,"QA REVIEW",IF(Q9&gt;IF(F9="Flagship",Rubric!$B$29,Rubric!$B$30),"Watch","OK"))))</f>
        <v/>
      </c>
      <c r="S9" s="183">
        <f>IF(G9="","",IF(O9&lt;&gt;"",O9-G9,IF(N(L9)&gt;=Rubric!$B$24,"Reached – enter date","Not yet")))</f>
        <v/>
      </c>
      <c r="T9" s="184">
        <f>IF(OR(G9="",L9=""),"",L9/IF(N(P9)=0,1,P9))</f>
        <v/>
      </c>
      <c r="U9" s="182">
        <f>IF(C9="","",IFERROR(INDEX(Scoring!$AN$6:$AN$60,MATCH(C9,Scoring!$B$6:$B$60,0)),""))</f>
        <v/>
      </c>
      <c r="V9" s="165">
        <f>IF(G9="","",IF(OR(N(N9)&gt;=Rubric!$B$26,N(M9)&gt;Rubric!$B$27),"GREEN – Scale",IF(AND(H9&gt;=Rubric!$B$22,N(L9)&lt;Rubric!$B$24),"RED – Stop investing",IF(AND(H9&gt;=Rubric!$B$21,N(J9)&lt;Rubric!$B$23),"YELLOW – Underperformer",IF(H9&lt;Rubric!$B$21,"Too early","OK")))))</f>
        <v/>
      </c>
      <c r="W9" s="183">
        <f>IF(V9="","",IF(LEFT(V9,5)="GREEN","Spin off cluster titles; consider hardcover or Ingram if it is a flagship",IF(LEFT(V9,3)="RED","Stop investing (no ads, no cluster spin-offs); keep the listing live; log why: demand, competition or execution",IF(LEFT(V9,6)="YELLOW","Refresh cover, rewrite keywords, test price; re-score the niche",IF(V9="Too early","Wait for the day-"&amp;Rubric!$B$21&amp;" audit","Keep monitoring")))))</f>
        <v/>
      </c>
      <c r="X9" s="150" t="n"/>
      <c r="Y9" s="150" t="n"/>
    </row>
    <row r="10" ht="30" customHeight="1" s="198">
      <c r="A10" s="150" t="n"/>
      <c r="B10" s="150" t="n"/>
      <c r="C10" s="150" t="n"/>
      <c r="D10" s="150" t="n"/>
      <c r="E10" s="150" t="n"/>
      <c r="F10" s="150" t="n"/>
      <c r="G10" s="151" t="n"/>
      <c r="H10" s="182">
        <f>IF(G10="","",MAX(0,TODAY()-G10))</f>
        <v/>
      </c>
      <c r="I10" s="183">
        <f>IF(G10="","",IF(H10&lt;Rubric!$B$20,"Day "&amp;Rubric!$B$20&amp;" audit: "&amp;TEXT(G10+Rubric!$B$20,"yyyy-mm-dd"),IF(H10&lt;Rubric!$B$21,"Day "&amp;Rubric!$B$21&amp;" audit: "&amp;TEXT(G10+Rubric!$B$21,"yyyy-mm-dd"),IF(H10&lt;Rubric!$B$22,"Day "&amp;Rubric!$B$22&amp;" audit: "&amp;TEXT(G10+Rubric!$B$22,"yyyy-mm-dd"),"All audits done"))))</f>
        <v/>
      </c>
      <c r="J10" s="150" t="n"/>
      <c r="K10" s="150" t="n"/>
      <c r="L10" s="180" t="n"/>
      <c r="M10" s="150" t="n"/>
      <c r="N10" s="150" t="n"/>
      <c r="O10" s="151" t="n"/>
      <c r="P10" s="150" t="n"/>
      <c r="Q10" s="162">
        <f>IF(N(J10)=0,"",N(K10)/J10)</f>
        <v/>
      </c>
      <c r="R10" s="183">
        <f>IF(J10="","",IF(N(J10)&lt;Rubric!$B$31,"Too few sales to judge",IF(Q10&gt;Rubric!$B$28,"QA REVIEW",IF(Q10&gt;IF(F10="Flagship",Rubric!$B$29,Rubric!$B$30),"Watch","OK"))))</f>
        <v/>
      </c>
      <c r="S10" s="183">
        <f>IF(G10="","",IF(O10&lt;&gt;"",O10-G10,IF(N(L10)&gt;=Rubric!$B$24,"Reached – enter date","Not yet")))</f>
        <v/>
      </c>
      <c r="T10" s="184">
        <f>IF(OR(G10="",L10=""),"",L10/IF(N(P10)=0,1,P10))</f>
        <v/>
      </c>
      <c r="U10" s="182">
        <f>IF(C10="","",IFERROR(INDEX(Scoring!$AN$6:$AN$60,MATCH(C10,Scoring!$B$6:$B$60,0)),""))</f>
        <v/>
      </c>
      <c r="V10" s="165">
        <f>IF(G10="","",IF(OR(N(N10)&gt;=Rubric!$B$26,N(M10)&gt;Rubric!$B$27),"GREEN – Scale",IF(AND(H10&gt;=Rubric!$B$22,N(L10)&lt;Rubric!$B$24),"RED – Stop investing",IF(AND(H10&gt;=Rubric!$B$21,N(J10)&lt;Rubric!$B$23),"YELLOW – Underperformer",IF(H10&lt;Rubric!$B$21,"Too early","OK")))))</f>
        <v/>
      </c>
      <c r="W10" s="183">
        <f>IF(V10="","",IF(LEFT(V10,5)="GREEN","Spin off cluster titles; consider hardcover or Ingram if it is a flagship",IF(LEFT(V10,3)="RED","Stop investing (no ads, no cluster spin-offs); keep the listing live; log why: demand, competition or execution",IF(LEFT(V10,6)="YELLOW","Refresh cover, rewrite keywords, test price; re-score the niche",IF(V10="Too early","Wait for the day-"&amp;Rubric!$B$21&amp;" audit","Keep monitoring")))))</f>
        <v/>
      </c>
      <c r="X10" s="150" t="n"/>
      <c r="Y10" s="150" t="n"/>
    </row>
    <row r="11" ht="30" customHeight="1" s="198">
      <c r="A11" s="150" t="n"/>
      <c r="B11" s="150" t="n"/>
      <c r="C11" s="150" t="n"/>
      <c r="D11" s="150" t="n"/>
      <c r="E11" s="150" t="n"/>
      <c r="F11" s="150" t="n"/>
      <c r="G11" s="151" t="n"/>
      <c r="H11" s="182">
        <f>IF(G11="","",MAX(0,TODAY()-G11))</f>
        <v/>
      </c>
      <c r="I11" s="183">
        <f>IF(G11="","",IF(H11&lt;Rubric!$B$20,"Day "&amp;Rubric!$B$20&amp;" audit: "&amp;TEXT(G11+Rubric!$B$20,"yyyy-mm-dd"),IF(H11&lt;Rubric!$B$21,"Day "&amp;Rubric!$B$21&amp;" audit: "&amp;TEXT(G11+Rubric!$B$21,"yyyy-mm-dd"),IF(H11&lt;Rubric!$B$22,"Day "&amp;Rubric!$B$22&amp;" audit: "&amp;TEXT(G11+Rubric!$B$22,"yyyy-mm-dd"),"All audits done"))))</f>
        <v/>
      </c>
      <c r="J11" s="150" t="n"/>
      <c r="K11" s="150" t="n"/>
      <c r="L11" s="180" t="n"/>
      <c r="M11" s="150" t="n"/>
      <c r="N11" s="150" t="n"/>
      <c r="O11" s="151" t="n"/>
      <c r="P11" s="150" t="n"/>
      <c r="Q11" s="162">
        <f>IF(N(J11)=0,"",N(K11)/J11)</f>
        <v/>
      </c>
      <c r="R11" s="183">
        <f>IF(J11="","",IF(N(J11)&lt;Rubric!$B$31,"Too few sales to judge",IF(Q11&gt;Rubric!$B$28,"QA REVIEW",IF(Q11&gt;IF(F11="Flagship",Rubric!$B$29,Rubric!$B$30),"Watch","OK"))))</f>
        <v/>
      </c>
      <c r="S11" s="183">
        <f>IF(G11="","",IF(O11&lt;&gt;"",O11-G11,IF(N(L11)&gt;=Rubric!$B$24,"Reached – enter date","Not yet")))</f>
        <v/>
      </c>
      <c r="T11" s="184">
        <f>IF(OR(G11="",L11=""),"",L11/IF(N(P11)=0,1,P11))</f>
        <v/>
      </c>
      <c r="U11" s="182">
        <f>IF(C11="","",IFERROR(INDEX(Scoring!$AN$6:$AN$60,MATCH(C11,Scoring!$B$6:$B$60,0)),""))</f>
        <v/>
      </c>
      <c r="V11" s="165">
        <f>IF(G11="","",IF(OR(N(N11)&gt;=Rubric!$B$26,N(M11)&gt;Rubric!$B$27),"GREEN – Scale",IF(AND(H11&gt;=Rubric!$B$22,N(L11)&lt;Rubric!$B$24),"RED – Stop investing",IF(AND(H11&gt;=Rubric!$B$21,N(J11)&lt;Rubric!$B$23),"YELLOW – Underperformer",IF(H11&lt;Rubric!$B$21,"Too early","OK")))))</f>
        <v/>
      </c>
      <c r="W11" s="183">
        <f>IF(V11="","",IF(LEFT(V11,5)="GREEN","Spin off cluster titles; consider hardcover or Ingram if it is a flagship",IF(LEFT(V11,3)="RED","Stop investing (no ads, no cluster spin-offs); keep the listing live; log why: demand, competition or execution",IF(LEFT(V11,6)="YELLOW","Refresh cover, rewrite keywords, test price; re-score the niche",IF(V11="Too early","Wait for the day-"&amp;Rubric!$B$21&amp;" audit","Keep monitoring")))))</f>
        <v/>
      </c>
      <c r="X11" s="150" t="n"/>
      <c r="Y11" s="150" t="n"/>
    </row>
    <row r="12" ht="30" customHeight="1" s="198">
      <c r="A12" s="150" t="n"/>
      <c r="B12" s="150" t="n"/>
      <c r="C12" s="150" t="n"/>
      <c r="D12" s="150" t="n"/>
      <c r="E12" s="150" t="n"/>
      <c r="F12" s="150" t="n"/>
      <c r="G12" s="151" t="n"/>
      <c r="H12" s="182">
        <f>IF(G12="","",MAX(0,TODAY()-G12))</f>
        <v/>
      </c>
      <c r="I12" s="183">
        <f>IF(G12="","",IF(H12&lt;Rubric!$B$20,"Day "&amp;Rubric!$B$20&amp;" audit: "&amp;TEXT(G12+Rubric!$B$20,"yyyy-mm-dd"),IF(H12&lt;Rubric!$B$21,"Day "&amp;Rubric!$B$21&amp;" audit: "&amp;TEXT(G12+Rubric!$B$21,"yyyy-mm-dd"),IF(H12&lt;Rubric!$B$22,"Day "&amp;Rubric!$B$22&amp;" audit: "&amp;TEXT(G12+Rubric!$B$22,"yyyy-mm-dd"),"All audits done"))))</f>
        <v/>
      </c>
      <c r="J12" s="150" t="n"/>
      <c r="K12" s="150" t="n"/>
      <c r="L12" s="180" t="n"/>
      <c r="M12" s="150" t="n"/>
      <c r="N12" s="150" t="n"/>
      <c r="O12" s="151" t="n"/>
      <c r="P12" s="150" t="n"/>
      <c r="Q12" s="162">
        <f>IF(N(J12)=0,"",N(K12)/J12)</f>
        <v/>
      </c>
      <c r="R12" s="183">
        <f>IF(J12="","",IF(N(J12)&lt;Rubric!$B$31,"Too few sales to judge",IF(Q12&gt;Rubric!$B$28,"QA REVIEW",IF(Q12&gt;IF(F12="Flagship",Rubric!$B$29,Rubric!$B$30),"Watch","OK"))))</f>
        <v/>
      </c>
      <c r="S12" s="183">
        <f>IF(G12="","",IF(O12&lt;&gt;"",O12-G12,IF(N(L12)&gt;=Rubric!$B$24,"Reached – enter date","Not yet")))</f>
        <v/>
      </c>
      <c r="T12" s="184">
        <f>IF(OR(G12="",L12=""),"",L12/IF(N(P12)=0,1,P12))</f>
        <v/>
      </c>
      <c r="U12" s="182">
        <f>IF(C12="","",IFERROR(INDEX(Scoring!$AN$6:$AN$60,MATCH(C12,Scoring!$B$6:$B$60,0)),""))</f>
        <v/>
      </c>
      <c r="V12" s="165">
        <f>IF(G12="","",IF(OR(N(N12)&gt;=Rubric!$B$26,N(M12)&gt;Rubric!$B$27),"GREEN – Scale",IF(AND(H12&gt;=Rubric!$B$22,N(L12)&lt;Rubric!$B$24),"RED – Stop investing",IF(AND(H12&gt;=Rubric!$B$21,N(J12)&lt;Rubric!$B$23),"YELLOW – Underperformer",IF(H12&lt;Rubric!$B$21,"Too early","OK")))))</f>
        <v/>
      </c>
      <c r="W12" s="183">
        <f>IF(V12="","",IF(LEFT(V12,5)="GREEN","Spin off cluster titles; consider hardcover or Ingram if it is a flagship",IF(LEFT(V12,3)="RED","Stop investing (no ads, no cluster spin-offs); keep the listing live; log why: demand, competition or execution",IF(LEFT(V12,6)="YELLOW","Refresh cover, rewrite keywords, test price; re-score the niche",IF(V12="Too early","Wait for the day-"&amp;Rubric!$B$21&amp;" audit","Keep monitoring")))))</f>
        <v/>
      </c>
      <c r="X12" s="150" t="n"/>
      <c r="Y12" s="150" t="n"/>
    </row>
    <row r="13" ht="30" customHeight="1" s="198">
      <c r="A13" s="150" t="n"/>
      <c r="B13" s="150" t="n"/>
      <c r="C13" s="150" t="n"/>
      <c r="D13" s="150" t="n"/>
      <c r="E13" s="150" t="n"/>
      <c r="F13" s="150" t="n"/>
      <c r="G13" s="151" t="n"/>
      <c r="H13" s="182">
        <f>IF(G13="","",MAX(0,TODAY()-G13))</f>
        <v/>
      </c>
      <c r="I13" s="183">
        <f>IF(G13="","",IF(H13&lt;Rubric!$B$20,"Day "&amp;Rubric!$B$20&amp;" audit: "&amp;TEXT(G13+Rubric!$B$20,"yyyy-mm-dd"),IF(H13&lt;Rubric!$B$21,"Day "&amp;Rubric!$B$21&amp;" audit: "&amp;TEXT(G13+Rubric!$B$21,"yyyy-mm-dd"),IF(H13&lt;Rubric!$B$22,"Day "&amp;Rubric!$B$22&amp;" audit: "&amp;TEXT(G13+Rubric!$B$22,"yyyy-mm-dd"),"All audits done"))))</f>
        <v/>
      </c>
      <c r="J13" s="150" t="n"/>
      <c r="K13" s="150" t="n"/>
      <c r="L13" s="180" t="n"/>
      <c r="M13" s="150" t="n"/>
      <c r="N13" s="150" t="n"/>
      <c r="O13" s="151" t="n"/>
      <c r="P13" s="150" t="n"/>
      <c r="Q13" s="162">
        <f>IF(N(J13)=0,"",N(K13)/J13)</f>
        <v/>
      </c>
      <c r="R13" s="183">
        <f>IF(J13="","",IF(N(J13)&lt;Rubric!$B$31,"Too few sales to judge",IF(Q13&gt;Rubric!$B$28,"QA REVIEW",IF(Q13&gt;IF(F13="Flagship",Rubric!$B$29,Rubric!$B$30),"Watch","OK"))))</f>
        <v/>
      </c>
      <c r="S13" s="183">
        <f>IF(G13="","",IF(O13&lt;&gt;"",O13-G13,IF(N(L13)&gt;=Rubric!$B$24,"Reached – enter date","Not yet")))</f>
        <v/>
      </c>
      <c r="T13" s="184">
        <f>IF(OR(G13="",L13=""),"",L13/IF(N(P13)=0,1,P13))</f>
        <v/>
      </c>
      <c r="U13" s="182">
        <f>IF(C13="","",IFERROR(INDEX(Scoring!$AN$6:$AN$60,MATCH(C13,Scoring!$B$6:$B$60,0)),""))</f>
        <v/>
      </c>
      <c r="V13" s="165">
        <f>IF(G13="","",IF(OR(N(N13)&gt;=Rubric!$B$26,N(M13)&gt;Rubric!$B$27),"GREEN – Scale",IF(AND(H13&gt;=Rubric!$B$22,N(L13)&lt;Rubric!$B$24),"RED – Stop investing",IF(AND(H13&gt;=Rubric!$B$21,N(J13)&lt;Rubric!$B$23),"YELLOW – Underperformer",IF(H13&lt;Rubric!$B$21,"Too early","OK")))))</f>
        <v/>
      </c>
      <c r="W13" s="183">
        <f>IF(V13="","",IF(LEFT(V13,5)="GREEN","Spin off cluster titles; consider hardcover or Ingram if it is a flagship",IF(LEFT(V13,3)="RED","Stop investing (no ads, no cluster spin-offs); keep the listing live; log why: demand, competition or execution",IF(LEFT(V13,6)="YELLOW","Refresh cover, rewrite keywords, test price; re-score the niche",IF(V13="Too early","Wait for the day-"&amp;Rubric!$B$21&amp;" audit","Keep monitoring")))))</f>
        <v/>
      </c>
      <c r="X13" s="150" t="n"/>
      <c r="Y13" s="150" t="n"/>
    </row>
    <row r="14" ht="30" customHeight="1" s="198">
      <c r="A14" s="150" t="n"/>
      <c r="B14" s="150" t="n"/>
      <c r="C14" s="150" t="n"/>
      <c r="D14" s="150" t="n"/>
      <c r="E14" s="150" t="n"/>
      <c r="F14" s="150" t="n"/>
      <c r="G14" s="151" t="n"/>
      <c r="H14" s="182">
        <f>IF(G14="","",MAX(0,TODAY()-G14))</f>
        <v/>
      </c>
      <c r="I14" s="183">
        <f>IF(G14="","",IF(H14&lt;Rubric!$B$20,"Day "&amp;Rubric!$B$20&amp;" audit: "&amp;TEXT(G14+Rubric!$B$20,"yyyy-mm-dd"),IF(H14&lt;Rubric!$B$21,"Day "&amp;Rubric!$B$21&amp;" audit: "&amp;TEXT(G14+Rubric!$B$21,"yyyy-mm-dd"),IF(H14&lt;Rubric!$B$22,"Day "&amp;Rubric!$B$22&amp;" audit: "&amp;TEXT(G14+Rubric!$B$22,"yyyy-mm-dd"),"All audits done"))))</f>
        <v/>
      </c>
      <c r="J14" s="150" t="n"/>
      <c r="K14" s="150" t="n"/>
      <c r="L14" s="180" t="n"/>
      <c r="M14" s="150" t="n"/>
      <c r="N14" s="150" t="n"/>
      <c r="O14" s="151" t="n"/>
      <c r="P14" s="150" t="n"/>
      <c r="Q14" s="162">
        <f>IF(N(J14)=0,"",N(K14)/J14)</f>
        <v/>
      </c>
      <c r="R14" s="183">
        <f>IF(J14="","",IF(N(J14)&lt;Rubric!$B$31,"Too few sales to judge",IF(Q14&gt;Rubric!$B$28,"QA REVIEW",IF(Q14&gt;IF(F14="Flagship",Rubric!$B$29,Rubric!$B$30),"Watch","OK"))))</f>
        <v/>
      </c>
      <c r="S14" s="183">
        <f>IF(G14="","",IF(O14&lt;&gt;"",O14-G14,IF(N(L14)&gt;=Rubric!$B$24,"Reached – enter date","Not yet")))</f>
        <v/>
      </c>
      <c r="T14" s="184">
        <f>IF(OR(G14="",L14=""),"",L14/IF(N(P14)=0,1,P14))</f>
        <v/>
      </c>
      <c r="U14" s="182">
        <f>IF(C14="","",IFERROR(INDEX(Scoring!$AN$6:$AN$60,MATCH(C14,Scoring!$B$6:$B$60,0)),""))</f>
        <v/>
      </c>
      <c r="V14" s="165">
        <f>IF(G14="","",IF(OR(N(N14)&gt;=Rubric!$B$26,N(M14)&gt;Rubric!$B$27),"GREEN – Scale",IF(AND(H14&gt;=Rubric!$B$22,N(L14)&lt;Rubric!$B$24),"RED – Stop investing",IF(AND(H14&gt;=Rubric!$B$21,N(J14)&lt;Rubric!$B$23),"YELLOW – Underperformer",IF(H14&lt;Rubric!$B$21,"Too early","OK")))))</f>
        <v/>
      </c>
      <c r="W14" s="183">
        <f>IF(V14="","",IF(LEFT(V14,5)="GREEN","Spin off cluster titles; consider hardcover or Ingram if it is a flagship",IF(LEFT(V14,3)="RED","Stop investing (no ads, no cluster spin-offs); keep the listing live; log why: demand, competition or execution",IF(LEFT(V14,6)="YELLOW","Refresh cover, rewrite keywords, test price; re-score the niche",IF(V14="Too early","Wait for the day-"&amp;Rubric!$B$21&amp;" audit","Keep monitoring")))))</f>
        <v/>
      </c>
      <c r="X14" s="150" t="n"/>
      <c r="Y14" s="150" t="n"/>
    </row>
    <row r="15" ht="30" customHeight="1" s="198">
      <c r="A15" s="150" t="n"/>
      <c r="B15" s="150" t="n"/>
      <c r="C15" s="150" t="n"/>
      <c r="D15" s="150" t="n"/>
      <c r="E15" s="150" t="n"/>
      <c r="F15" s="150" t="n"/>
      <c r="G15" s="151" t="n"/>
      <c r="H15" s="182">
        <f>IF(G15="","",MAX(0,TODAY()-G15))</f>
        <v/>
      </c>
      <c r="I15" s="183">
        <f>IF(G15="","",IF(H15&lt;Rubric!$B$20,"Day "&amp;Rubric!$B$20&amp;" audit: "&amp;TEXT(G15+Rubric!$B$20,"yyyy-mm-dd"),IF(H15&lt;Rubric!$B$21,"Day "&amp;Rubric!$B$21&amp;" audit: "&amp;TEXT(G15+Rubric!$B$21,"yyyy-mm-dd"),IF(H15&lt;Rubric!$B$22,"Day "&amp;Rubric!$B$22&amp;" audit: "&amp;TEXT(G15+Rubric!$B$22,"yyyy-mm-dd"),"All audits done"))))</f>
        <v/>
      </c>
      <c r="J15" s="150" t="n"/>
      <c r="K15" s="150" t="n"/>
      <c r="L15" s="180" t="n"/>
      <c r="M15" s="150" t="n"/>
      <c r="N15" s="150" t="n"/>
      <c r="O15" s="151" t="n"/>
      <c r="P15" s="150" t="n"/>
      <c r="Q15" s="162">
        <f>IF(N(J15)=0,"",N(K15)/J15)</f>
        <v/>
      </c>
      <c r="R15" s="183">
        <f>IF(J15="","",IF(N(J15)&lt;Rubric!$B$31,"Too few sales to judge",IF(Q15&gt;Rubric!$B$28,"QA REVIEW",IF(Q15&gt;IF(F15="Flagship",Rubric!$B$29,Rubric!$B$30),"Watch","OK"))))</f>
        <v/>
      </c>
      <c r="S15" s="183">
        <f>IF(G15="","",IF(O15&lt;&gt;"",O15-G15,IF(N(L15)&gt;=Rubric!$B$24,"Reached – enter date","Not yet")))</f>
        <v/>
      </c>
      <c r="T15" s="184">
        <f>IF(OR(G15="",L15=""),"",L15/IF(N(P15)=0,1,P15))</f>
        <v/>
      </c>
      <c r="U15" s="182">
        <f>IF(C15="","",IFERROR(INDEX(Scoring!$AN$6:$AN$60,MATCH(C15,Scoring!$B$6:$B$60,0)),""))</f>
        <v/>
      </c>
      <c r="V15" s="165">
        <f>IF(G15="","",IF(OR(N(N15)&gt;=Rubric!$B$26,N(M15)&gt;Rubric!$B$27),"GREEN – Scale",IF(AND(H15&gt;=Rubric!$B$22,N(L15)&lt;Rubric!$B$24),"RED – Stop investing",IF(AND(H15&gt;=Rubric!$B$21,N(J15)&lt;Rubric!$B$23),"YELLOW – Underperformer",IF(H15&lt;Rubric!$B$21,"Too early","OK")))))</f>
        <v/>
      </c>
      <c r="W15" s="183">
        <f>IF(V15="","",IF(LEFT(V15,5)="GREEN","Spin off cluster titles; consider hardcover or Ingram if it is a flagship",IF(LEFT(V15,3)="RED","Stop investing (no ads, no cluster spin-offs); keep the listing live; log why: demand, competition or execution",IF(LEFT(V15,6)="YELLOW","Refresh cover, rewrite keywords, test price; re-score the niche",IF(V15="Too early","Wait for the day-"&amp;Rubric!$B$21&amp;" audit","Keep monitoring")))))</f>
        <v/>
      </c>
      <c r="X15" s="150" t="n"/>
      <c r="Y15" s="150" t="n"/>
    </row>
    <row r="16" ht="30" customHeight="1" s="198">
      <c r="A16" s="150" t="n"/>
      <c r="B16" s="150" t="n"/>
      <c r="C16" s="150" t="n"/>
      <c r="D16" s="150" t="n"/>
      <c r="E16" s="150" t="n"/>
      <c r="F16" s="150" t="n"/>
      <c r="G16" s="151" t="n"/>
      <c r="H16" s="182">
        <f>IF(G16="","",MAX(0,TODAY()-G16))</f>
        <v/>
      </c>
      <c r="I16" s="183">
        <f>IF(G16="","",IF(H16&lt;Rubric!$B$20,"Day "&amp;Rubric!$B$20&amp;" audit: "&amp;TEXT(G16+Rubric!$B$20,"yyyy-mm-dd"),IF(H16&lt;Rubric!$B$21,"Day "&amp;Rubric!$B$21&amp;" audit: "&amp;TEXT(G16+Rubric!$B$21,"yyyy-mm-dd"),IF(H16&lt;Rubric!$B$22,"Day "&amp;Rubric!$B$22&amp;" audit: "&amp;TEXT(G16+Rubric!$B$22,"yyyy-mm-dd"),"All audits done"))))</f>
        <v/>
      </c>
      <c r="J16" s="150" t="n"/>
      <c r="K16" s="150" t="n"/>
      <c r="L16" s="180" t="n"/>
      <c r="M16" s="150" t="n"/>
      <c r="N16" s="150" t="n"/>
      <c r="O16" s="151" t="n"/>
      <c r="P16" s="150" t="n"/>
      <c r="Q16" s="162">
        <f>IF(N(J16)=0,"",N(K16)/J16)</f>
        <v/>
      </c>
      <c r="R16" s="183">
        <f>IF(J16="","",IF(N(J16)&lt;Rubric!$B$31,"Too few sales to judge",IF(Q16&gt;Rubric!$B$28,"QA REVIEW",IF(Q16&gt;IF(F16="Flagship",Rubric!$B$29,Rubric!$B$30),"Watch","OK"))))</f>
        <v/>
      </c>
      <c r="S16" s="183">
        <f>IF(G16="","",IF(O16&lt;&gt;"",O16-G16,IF(N(L16)&gt;=Rubric!$B$24,"Reached – enter date","Not yet")))</f>
        <v/>
      </c>
      <c r="T16" s="184">
        <f>IF(OR(G16="",L16=""),"",L16/IF(N(P16)=0,1,P16))</f>
        <v/>
      </c>
      <c r="U16" s="182">
        <f>IF(C16="","",IFERROR(INDEX(Scoring!$AN$6:$AN$60,MATCH(C16,Scoring!$B$6:$B$60,0)),""))</f>
        <v/>
      </c>
      <c r="V16" s="165">
        <f>IF(G16="","",IF(OR(N(N16)&gt;=Rubric!$B$26,N(M16)&gt;Rubric!$B$27),"GREEN – Scale",IF(AND(H16&gt;=Rubric!$B$22,N(L16)&lt;Rubric!$B$24),"RED – Stop investing",IF(AND(H16&gt;=Rubric!$B$21,N(J16)&lt;Rubric!$B$23),"YELLOW – Underperformer",IF(H16&lt;Rubric!$B$21,"Too early","OK")))))</f>
        <v/>
      </c>
      <c r="W16" s="183">
        <f>IF(V16="","",IF(LEFT(V16,5)="GREEN","Spin off cluster titles; consider hardcover or Ingram if it is a flagship",IF(LEFT(V16,3)="RED","Stop investing (no ads, no cluster spin-offs); keep the listing live; log why: demand, competition or execution",IF(LEFT(V16,6)="YELLOW","Refresh cover, rewrite keywords, test price; re-score the niche",IF(V16="Too early","Wait for the day-"&amp;Rubric!$B$21&amp;" audit","Keep monitoring")))))</f>
        <v/>
      </c>
      <c r="X16" s="150" t="n"/>
      <c r="Y16" s="150" t="n"/>
    </row>
    <row r="17" ht="30" customHeight="1" s="198">
      <c r="A17" s="150" t="n"/>
      <c r="B17" s="150" t="n"/>
      <c r="C17" s="150" t="n"/>
      <c r="D17" s="150" t="n"/>
      <c r="E17" s="150" t="n"/>
      <c r="F17" s="150" t="n"/>
      <c r="G17" s="151" t="n"/>
      <c r="H17" s="182">
        <f>IF(G17="","",MAX(0,TODAY()-G17))</f>
        <v/>
      </c>
      <c r="I17" s="183">
        <f>IF(G17="","",IF(H17&lt;Rubric!$B$20,"Day "&amp;Rubric!$B$20&amp;" audit: "&amp;TEXT(G17+Rubric!$B$20,"yyyy-mm-dd"),IF(H17&lt;Rubric!$B$21,"Day "&amp;Rubric!$B$21&amp;" audit: "&amp;TEXT(G17+Rubric!$B$21,"yyyy-mm-dd"),IF(H17&lt;Rubric!$B$22,"Day "&amp;Rubric!$B$22&amp;" audit: "&amp;TEXT(G17+Rubric!$B$22,"yyyy-mm-dd"),"All audits done"))))</f>
        <v/>
      </c>
      <c r="J17" s="150" t="n"/>
      <c r="K17" s="150" t="n"/>
      <c r="L17" s="180" t="n"/>
      <c r="M17" s="150" t="n"/>
      <c r="N17" s="150" t="n"/>
      <c r="O17" s="151" t="n"/>
      <c r="P17" s="150" t="n"/>
      <c r="Q17" s="162">
        <f>IF(N(J17)=0,"",N(K17)/J17)</f>
        <v/>
      </c>
      <c r="R17" s="183">
        <f>IF(J17="","",IF(N(J17)&lt;Rubric!$B$31,"Too few sales to judge",IF(Q17&gt;Rubric!$B$28,"QA REVIEW",IF(Q17&gt;IF(F17="Flagship",Rubric!$B$29,Rubric!$B$30),"Watch","OK"))))</f>
        <v/>
      </c>
      <c r="S17" s="183">
        <f>IF(G17="","",IF(O17&lt;&gt;"",O17-G17,IF(N(L17)&gt;=Rubric!$B$24,"Reached – enter date","Not yet")))</f>
        <v/>
      </c>
      <c r="T17" s="184">
        <f>IF(OR(G17="",L17=""),"",L17/IF(N(P17)=0,1,P17))</f>
        <v/>
      </c>
      <c r="U17" s="182">
        <f>IF(C17="","",IFERROR(INDEX(Scoring!$AN$6:$AN$60,MATCH(C17,Scoring!$B$6:$B$60,0)),""))</f>
        <v/>
      </c>
      <c r="V17" s="165">
        <f>IF(G17="","",IF(OR(N(N17)&gt;=Rubric!$B$26,N(M17)&gt;Rubric!$B$27),"GREEN – Scale",IF(AND(H17&gt;=Rubric!$B$22,N(L17)&lt;Rubric!$B$24),"RED – Stop investing",IF(AND(H17&gt;=Rubric!$B$21,N(J17)&lt;Rubric!$B$23),"YELLOW – Underperformer",IF(H17&lt;Rubric!$B$21,"Too early","OK")))))</f>
        <v/>
      </c>
      <c r="W17" s="183">
        <f>IF(V17="","",IF(LEFT(V17,5)="GREEN","Spin off cluster titles; consider hardcover or Ingram if it is a flagship",IF(LEFT(V17,3)="RED","Stop investing (no ads, no cluster spin-offs); keep the listing live; log why: demand, competition or execution",IF(LEFT(V17,6)="YELLOW","Refresh cover, rewrite keywords, test price; re-score the niche",IF(V17="Too early","Wait for the day-"&amp;Rubric!$B$21&amp;" audit","Keep monitoring")))))</f>
        <v/>
      </c>
      <c r="X17" s="150" t="n"/>
      <c r="Y17" s="150" t="n"/>
    </row>
    <row r="18" ht="30" customHeight="1" s="198">
      <c r="A18" s="150" t="n"/>
      <c r="B18" s="150" t="n"/>
      <c r="C18" s="150" t="n"/>
      <c r="D18" s="150" t="n"/>
      <c r="E18" s="150" t="n"/>
      <c r="F18" s="150" t="n"/>
      <c r="G18" s="151" t="n"/>
      <c r="H18" s="182">
        <f>IF(G18="","",MAX(0,TODAY()-G18))</f>
        <v/>
      </c>
      <c r="I18" s="183">
        <f>IF(G18="","",IF(H18&lt;Rubric!$B$20,"Day "&amp;Rubric!$B$20&amp;" audit: "&amp;TEXT(G18+Rubric!$B$20,"yyyy-mm-dd"),IF(H18&lt;Rubric!$B$21,"Day "&amp;Rubric!$B$21&amp;" audit: "&amp;TEXT(G18+Rubric!$B$21,"yyyy-mm-dd"),IF(H18&lt;Rubric!$B$22,"Day "&amp;Rubric!$B$22&amp;" audit: "&amp;TEXT(G18+Rubric!$B$22,"yyyy-mm-dd"),"All audits done"))))</f>
        <v/>
      </c>
      <c r="J18" s="150" t="n"/>
      <c r="K18" s="150" t="n"/>
      <c r="L18" s="180" t="n"/>
      <c r="M18" s="150" t="n"/>
      <c r="N18" s="150" t="n"/>
      <c r="O18" s="151" t="n"/>
      <c r="P18" s="150" t="n"/>
      <c r="Q18" s="162">
        <f>IF(N(J18)=0,"",N(K18)/J18)</f>
        <v/>
      </c>
      <c r="R18" s="183">
        <f>IF(J18="","",IF(N(J18)&lt;Rubric!$B$31,"Too few sales to judge",IF(Q18&gt;Rubric!$B$28,"QA REVIEW",IF(Q18&gt;IF(F18="Flagship",Rubric!$B$29,Rubric!$B$30),"Watch","OK"))))</f>
        <v/>
      </c>
      <c r="S18" s="183">
        <f>IF(G18="","",IF(O18&lt;&gt;"",O18-G18,IF(N(L18)&gt;=Rubric!$B$24,"Reached – enter date","Not yet")))</f>
        <v/>
      </c>
      <c r="T18" s="184">
        <f>IF(OR(G18="",L18=""),"",L18/IF(N(P18)=0,1,P18))</f>
        <v/>
      </c>
      <c r="U18" s="182">
        <f>IF(C18="","",IFERROR(INDEX(Scoring!$AN$6:$AN$60,MATCH(C18,Scoring!$B$6:$B$60,0)),""))</f>
        <v/>
      </c>
      <c r="V18" s="165">
        <f>IF(G18="","",IF(OR(N(N18)&gt;=Rubric!$B$26,N(M18)&gt;Rubric!$B$27),"GREEN – Scale",IF(AND(H18&gt;=Rubric!$B$22,N(L18)&lt;Rubric!$B$24),"RED – Stop investing",IF(AND(H18&gt;=Rubric!$B$21,N(J18)&lt;Rubric!$B$23),"YELLOW – Underperformer",IF(H18&lt;Rubric!$B$21,"Too early","OK")))))</f>
        <v/>
      </c>
      <c r="W18" s="183">
        <f>IF(V18="","",IF(LEFT(V18,5)="GREEN","Spin off cluster titles; consider hardcover or Ingram if it is a flagship",IF(LEFT(V18,3)="RED","Stop investing (no ads, no cluster spin-offs); keep the listing live; log why: demand, competition or execution",IF(LEFT(V18,6)="YELLOW","Refresh cover, rewrite keywords, test price; re-score the niche",IF(V18="Too early","Wait for the day-"&amp;Rubric!$B$21&amp;" audit","Keep monitoring")))))</f>
        <v/>
      </c>
      <c r="X18" s="150" t="n"/>
      <c r="Y18" s="150" t="n"/>
    </row>
    <row r="19" ht="30" customHeight="1" s="198">
      <c r="A19" s="150" t="n"/>
      <c r="B19" s="150" t="n"/>
      <c r="C19" s="150" t="n"/>
      <c r="D19" s="150" t="n"/>
      <c r="E19" s="150" t="n"/>
      <c r="F19" s="150" t="n"/>
      <c r="G19" s="151" t="n"/>
      <c r="H19" s="182">
        <f>IF(G19="","",MAX(0,TODAY()-G19))</f>
        <v/>
      </c>
      <c r="I19" s="183">
        <f>IF(G19="","",IF(H19&lt;Rubric!$B$20,"Day "&amp;Rubric!$B$20&amp;" audit: "&amp;TEXT(G19+Rubric!$B$20,"yyyy-mm-dd"),IF(H19&lt;Rubric!$B$21,"Day "&amp;Rubric!$B$21&amp;" audit: "&amp;TEXT(G19+Rubric!$B$21,"yyyy-mm-dd"),IF(H19&lt;Rubric!$B$22,"Day "&amp;Rubric!$B$22&amp;" audit: "&amp;TEXT(G19+Rubric!$B$22,"yyyy-mm-dd"),"All audits done"))))</f>
        <v/>
      </c>
      <c r="J19" s="150" t="n"/>
      <c r="K19" s="150" t="n"/>
      <c r="L19" s="180" t="n"/>
      <c r="M19" s="150" t="n"/>
      <c r="N19" s="150" t="n"/>
      <c r="O19" s="151" t="n"/>
      <c r="P19" s="150" t="n"/>
      <c r="Q19" s="162">
        <f>IF(N(J19)=0,"",N(K19)/J19)</f>
        <v/>
      </c>
      <c r="R19" s="183">
        <f>IF(J19="","",IF(N(J19)&lt;Rubric!$B$31,"Too few sales to judge",IF(Q19&gt;Rubric!$B$28,"QA REVIEW",IF(Q19&gt;IF(F19="Flagship",Rubric!$B$29,Rubric!$B$30),"Watch","OK"))))</f>
        <v/>
      </c>
      <c r="S19" s="183">
        <f>IF(G19="","",IF(O19&lt;&gt;"",O19-G19,IF(N(L19)&gt;=Rubric!$B$24,"Reached – enter date","Not yet")))</f>
        <v/>
      </c>
      <c r="T19" s="184">
        <f>IF(OR(G19="",L19=""),"",L19/IF(N(P19)=0,1,P19))</f>
        <v/>
      </c>
      <c r="U19" s="182">
        <f>IF(C19="","",IFERROR(INDEX(Scoring!$AN$6:$AN$60,MATCH(C19,Scoring!$B$6:$B$60,0)),""))</f>
        <v/>
      </c>
      <c r="V19" s="165">
        <f>IF(G19="","",IF(OR(N(N19)&gt;=Rubric!$B$26,N(M19)&gt;Rubric!$B$27),"GREEN – Scale",IF(AND(H19&gt;=Rubric!$B$22,N(L19)&lt;Rubric!$B$24),"RED – Stop investing",IF(AND(H19&gt;=Rubric!$B$21,N(J19)&lt;Rubric!$B$23),"YELLOW – Underperformer",IF(H19&lt;Rubric!$B$21,"Too early","OK")))))</f>
        <v/>
      </c>
      <c r="W19" s="183">
        <f>IF(V19="","",IF(LEFT(V19,5)="GREEN","Spin off cluster titles; consider hardcover or Ingram if it is a flagship",IF(LEFT(V19,3)="RED","Stop investing (no ads, no cluster spin-offs); keep the listing live; log why: demand, competition or execution",IF(LEFT(V19,6)="YELLOW","Refresh cover, rewrite keywords, test price; re-score the niche",IF(V19="Too early","Wait for the day-"&amp;Rubric!$B$21&amp;" audit","Keep monitoring")))))</f>
        <v/>
      </c>
      <c r="X19" s="150" t="n"/>
      <c r="Y19" s="150" t="n"/>
    </row>
    <row r="20" ht="30" customHeight="1" s="198">
      <c r="A20" s="150" t="n"/>
      <c r="B20" s="150" t="n"/>
      <c r="C20" s="150" t="n"/>
      <c r="D20" s="150" t="n"/>
      <c r="E20" s="150" t="n"/>
      <c r="F20" s="150" t="n"/>
      <c r="G20" s="151" t="n"/>
      <c r="H20" s="182">
        <f>IF(G20="","",MAX(0,TODAY()-G20))</f>
        <v/>
      </c>
      <c r="I20" s="183">
        <f>IF(G20="","",IF(H20&lt;Rubric!$B$20,"Day "&amp;Rubric!$B$20&amp;" audit: "&amp;TEXT(G20+Rubric!$B$20,"yyyy-mm-dd"),IF(H20&lt;Rubric!$B$21,"Day "&amp;Rubric!$B$21&amp;" audit: "&amp;TEXT(G20+Rubric!$B$21,"yyyy-mm-dd"),IF(H20&lt;Rubric!$B$22,"Day "&amp;Rubric!$B$22&amp;" audit: "&amp;TEXT(G20+Rubric!$B$22,"yyyy-mm-dd"),"All audits done"))))</f>
        <v/>
      </c>
      <c r="J20" s="150" t="n"/>
      <c r="K20" s="150" t="n"/>
      <c r="L20" s="180" t="n"/>
      <c r="M20" s="150" t="n"/>
      <c r="N20" s="150" t="n"/>
      <c r="O20" s="151" t="n"/>
      <c r="P20" s="150" t="n"/>
      <c r="Q20" s="162">
        <f>IF(N(J20)=0,"",N(K20)/J20)</f>
        <v/>
      </c>
      <c r="R20" s="183">
        <f>IF(J20="","",IF(N(J20)&lt;Rubric!$B$31,"Too few sales to judge",IF(Q20&gt;Rubric!$B$28,"QA REVIEW",IF(Q20&gt;IF(F20="Flagship",Rubric!$B$29,Rubric!$B$30),"Watch","OK"))))</f>
        <v/>
      </c>
      <c r="S20" s="183">
        <f>IF(G20="","",IF(O20&lt;&gt;"",O20-G20,IF(N(L20)&gt;=Rubric!$B$24,"Reached – enter date","Not yet")))</f>
        <v/>
      </c>
      <c r="T20" s="184">
        <f>IF(OR(G20="",L20=""),"",L20/IF(N(P20)=0,1,P20))</f>
        <v/>
      </c>
      <c r="U20" s="182">
        <f>IF(C20="","",IFERROR(INDEX(Scoring!$AN$6:$AN$60,MATCH(C20,Scoring!$B$6:$B$60,0)),""))</f>
        <v/>
      </c>
      <c r="V20" s="165">
        <f>IF(G20="","",IF(OR(N(N20)&gt;=Rubric!$B$26,N(M20)&gt;Rubric!$B$27),"GREEN – Scale",IF(AND(H20&gt;=Rubric!$B$22,N(L20)&lt;Rubric!$B$24),"RED – Stop investing",IF(AND(H20&gt;=Rubric!$B$21,N(J20)&lt;Rubric!$B$23),"YELLOW – Underperformer",IF(H20&lt;Rubric!$B$21,"Too early","OK")))))</f>
        <v/>
      </c>
      <c r="W20" s="183">
        <f>IF(V20="","",IF(LEFT(V20,5)="GREEN","Spin off cluster titles; consider hardcover or Ingram if it is a flagship",IF(LEFT(V20,3)="RED","Stop investing (no ads, no cluster spin-offs); keep the listing live; log why: demand, competition or execution",IF(LEFT(V20,6)="YELLOW","Refresh cover, rewrite keywords, test price; re-score the niche",IF(V20="Too early","Wait for the day-"&amp;Rubric!$B$21&amp;" audit","Keep monitoring")))))</f>
        <v/>
      </c>
      <c r="X20" s="150" t="n"/>
      <c r="Y20" s="150" t="n"/>
    </row>
    <row r="21" ht="30" customHeight="1" s="198">
      <c r="A21" s="150" t="n"/>
      <c r="B21" s="150" t="n"/>
      <c r="C21" s="150" t="n"/>
      <c r="D21" s="150" t="n"/>
      <c r="E21" s="150" t="n"/>
      <c r="F21" s="150" t="n"/>
      <c r="G21" s="151" t="n"/>
      <c r="H21" s="182">
        <f>IF(G21="","",MAX(0,TODAY()-G21))</f>
        <v/>
      </c>
      <c r="I21" s="183">
        <f>IF(G21="","",IF(H21&lt;Rubric!$B$20,"Day "&amp;Rubric!$B$20&amp;" audit: "&amp;TEXT(G21+Rubric!$B$20,"yyyy-mm-dd"),IF(H21&lt;Rubric!$B$21,"Day "&amp;Rubric!$B$21&amp;" audit: "&amp;TEXT(G21+Rubric!$B$21,"yyyy-mm-dd"),IF(H21&lt;Rubric!$B$22,"Day "&amp;Rubric!$B$22&amp;" audit: "&amp;TEXT(G21+Rubric!$B$22,"yyyy-mm-dd"),"All audits done"))))</f>
        <v/>
      </c>
      <c r="J21" s="150" t="n"/>
      <c r="K21" s="150" t="n"/>
      <c r="L21" s="180" t="n"/>
      <c r="M21" s="150" t="n"/>
      <c r="N21" s="150" t="n"/>
      <c r="O21" s="151" t="n"/>
      <c r="P21" s="150" t="n"/>
      <c r="Q21" s="162">
        <f>IF(N(J21)=0,"",N(K21)/J21)</f>
        <v/>
      </c>
      <c r="R21" s="183">
        <f>IF(J21="","",IF(N(J21)&lt;Rubric!$B$31,"Too few sales to judge",IF(Q21&gt;Rubric!$B$28,"QA REVIEW",IF(Q21&gt;IF(F21="Flagship",Rubric!$B$29,Rubric!$B$30),"Watch","OK"))))</f>
        <v/>
      </c>
      <c r="S21" s="183">
        <f>IF(G21="","",IF(O21&lt;&gt;"",O21-G21,IF(N(L21)&gt;=Rubric!$B$24,"Reached – enter date","Not yet")))</f>
        <v/>
      </c>
      <c r="T21" s="184">
        <f>IF(OR(G21="",L21=""),"",L21/IF(N(P21)=0,1,P21))</f>
        <v/>
      </c>
      <c r="U21" s="182">
        <f>IF(C21="","",IFERROR(INDEX(Scoring!$AN$6:$AN$60,MATCH(C21,Scoring!$B$6:$B$60,0)),""))</f>
        <v/>
      </c>
      <c r="V21" s="165">
        <f>IF(G21="","",IF(OR(N(N21)&gt;=Rubric!$B$26,N(M21)&gt;Rubric!$B$27),"GREEN – Scale",IF(AND(H21&gt;=Rubric!$B$22,N(L21)&lt;Rubric!$B$24),"RED – Stop investing",IF(AND(H21&gt;=Rubric!$B$21,N(J21)&lt;Rubric!$B$23),"YELLOW – Underperformer",IF(H21&lt;Rubric!$B$21,"Too early","OK")))))</f>
        <v/>
      </c>
      <c r="W21" s="183">
        <f>IF(V21="","",IF(LEFT(V21,5)="GREEN","Spin off cluster titles; consider hardcover or Ingram if it is a flagship",IF(LEFT(V21,3)="RED","Stop investing (no ads, no cluster spin-offs); keep the listing live; log why: demand, competition or execution",IF(LEFT(V21,6)="YELLOW","Refresh cover, rewrite keywords, test price; re-score the niche",IF(V21="Too early","Wait for the day-"&amp;Rubric!$B$21&amp;" audit","Keep monitoring")))))</f>
        <v/>
      </c>
      <c r="X21" s="150" t="n"/>
      <c r="Y21" s="150" t="n"/>
    </row>
    <row r="22" ht="30" customHeight="1" s="198">
      <c r="A22" s="150" t="n"/>
      <c r="B22" s="150" t="n"/>
      <c r="C22" s="150" t="n"/>
      <c r="D22" s="150" t="n"/>
      <c r="E22" s="150" t="n"/>
      <c r="F22" s="150" t="n"/>
      <c r="G22" s="151" t="n"/>
      <c r="H22" s="182">
        <f>IF(G22="","",MAX(0,TODAY()-G22))</f>
        <v/>
      </c>
      <c r="I22" s="183">
        <f>IF(G22="","",IF(H22&lt;Rubric!$B$20,"Day "&amp;Rubric!$B$20&amp;" audit: "&amp;TEXT(G22+Rubric!$B$20,"yyyy-mm-dd"),IF(H22&lt;Rubric!$B$21,"Day "&amp;Rubric!$B$21&amp;" audit: "&amp;TEXT(G22+Rubric!$B$21,"yyyy-mm-dd"),IF(H22&lt;Rubric!$B$22,"Day "&amp;Rubric!$B$22&amp;" audit: "&amp;TEXT(G22+Rubric!$B$22,"yyyy-mm-dd"),"All audits done"))))</f>
        <v/>
      </c>
      <c r="J22" s="150" t="n"/>
      <c r="K22" s="150" t="n"/>
      <c r="L22" s="180" t="n"/>
      <c r="M22" s="150" t="n"/>
      <c r="N22" s="150" t="n"/>
      <c r="O22" s="151" t="n"/>
      <c r="P22" s="150" t="n"/>
      <c r="Q22" s="162">
        <f>IF(N(J22)=0,"",N(K22)/J22)</f>
        <v/>
      </c>
      <c r="R22" s="183">
        <f>IF(J22="","",IF(N(J22)&lt;Rubric!$B$31,"Too few sales to judge",IF(Q22&gt;Rubric!$B$28,"QA REVIEW",IF(Q22&gt;IF(F22="Flagship",Rubric!$B$29,Rubric!$B$30),"Watch","OK"))))</f>
        <v/>
      </c>
      <c r="S22" s="183">
        <f>IF(G22="","",IF(O22&lt;&gt;"",O22-G22,IF(N(L22)&gt;=Rubric!$B$24,"Reached – enter date","Not yet")))</f>
        <v/>
      </c>
      <c r="T22" s="184">
        <f>IF(OR(G22="",L22=""),"",L22/IF(N(P22)=0,1,P22))</f>
        <v/>
      </c>
      <c r="U22" s="182">
        <f>IF(C22="","",IFERROR(INDEX(Scoring!$AN$6:$AN$60,MATCH(C22,Scoring!$B$6:$B$60,0)),""))</f>
        <v/>
      </c>
      <c r="V22" s="165">
        <f>IF(G22="","",IF(OR(N(N22)&gt;=Rubric!$B$26,N(M22)&gt;Rubric!$B$27),"GREEN – Scale",IF(AND(H22&gt;=Rubric!$B$22,N(L22)&lt;Rubric!$B$24),"RED – Stop investing",IF(AND(H22&gt;=Rubric!$B$21,N(J22)&lt;Rubric!$B$23),"YELLOW – Underperformer",IF(H22&lt;Rubric!$B$21,"Too early","OK")))))</f>
        <v/>
      </c>
      <c r="W22" s="183">
        <f>IF(V22="","",IF(LEFT(V22,5)="GREEN","Spin off cluster titles; consider hardcover or Ingram if it is a flagship",IF(LEFT(V22,3)="RED","Stop investing (no ads, no cluster spin-offs); keep the listing live; log why: demand, competition or execution",IF(LEFT(V22,6)="YELLOW","Refresh cover, rewrite keywords, test price; re-score the niche",IF(V22="Too early","Wait for the day-"&amp;Rubric!$B$21&amp;" audit","Keep monitoring")))))</f>
        <v/>
      </c>
      <c r="X22" s="150" t="n"/>
      <c r="Y22" s="150" t="n"/>
    </row>
    <row r="23" ht="30" customHeight="1" s="198">
      <c r="A23" s="150" t="n"/>
      <c r="B23" s="150" t="n"/>
      <c r="C23" s="150" t="n"/>
      <c r="D23" s="150" t="n"/>
      <c r="E23" s="150" t="n"/>
      <c r="F23" s="150" t="n"/>
      <c r="G23" s="151" t="n"/>
      <c r="H23" s="182">
        <f>IF(G23="","",MAX(0,TODAY()-G23))</f>
        <v/>
      </c>
      <c r="I23" s="183">
        <f>IF(G23="","",IF(H23&lt;Rubric!$B$20,"Day "&amp;Rubric!$B$20&amp;" audit: "&amp;TEXT(G23+Rubric!$B$20,"yyyy-mm-dd"),IF(H23&lt;Rubric!$B$21,"Day "&amp;Rubric!$B$21&amp;" audit: "&amp;TEXT(G23+Rubric!$B$21,"yyyy-mm-dd"),IF(H23&lt;Rubric!$B$22,"Day "&amp;Rubric!$B$22&amp;" audit: "&amp;TEXT(G23+Rubric!$B$22,"yyyy-mm-dd"),"All audits done"))))</f>
        <v/>
      </c>
      <c r="J23" s="150" t="n"/>
      <c r="K23" s="150" t="n"/>
      <c r="L23" s="180" t="n"/>
      <c r="M23" s="150" t="n"/>
      <c r="N23" s="150" t="n"/>
      <c r="O23" s="151" t="n"/>
      <c r="P23" s="150" t="n"/>
      <c r="Q23" s="162">
        <f>IF(N(J23)=0,"",N(K23)/J23)</f>
        <v/>
      </c>
      <c r="R23" s="183">
        <f>IF(J23="","",IF(N(J23)&lt;Rubric!$B$31,"Too few sales to judge",IF(Q23&gt;Rubric!$B$28,"QA REVIEW",IF(Q23&gt;IF(F23="Flagship",Rubric!$B$29,Rubric!$B$30),"Watch","OK"))))</f>
        <v/>
      </c>
      <c r="S23" s="183">
        <f>IF(G23="","",IF(O23&lt;&gt;"",O23-G23,IF(N(L23)&gt;=Rubric!$B$24,"Reached – enter date","Not yet")))</f>
        <v/>
      </c>
      <c r="T23" s="184">
        <f>IF(OR(G23="",L23=""),"",L23/IF(N(P23)=0,1,P23))</f>
        <v/>
      </c>
      <c r="U23" s="182">
        <f>IF(C23="","",IFERROR(INDEX(Scoring!$AN$6:$AN$60,MATCH(C23,Scoring!$B$6:$B$60,0)),""))</f>
        <v/>
      </c>
      <c r="V23" s="165">
        <f>IF(G23="","",IF(OR(N(N23)&gt;=Rubric!$B$26,N(M23)&gt;Rubric!$B$27),"GREEN – Scale",IF(AND(H23&gt;=Rubric!$B$22,N(L23)&lt;Rubric!$B$24),"RED – Stop investing",IF(AND(H23&gt;=Rubric!$B$21,N(J23)&lt;Rubric!$B$23),"YELLOW – Underperformer",IF(H23&lt;Rubric!$B$21,"Too early","OK")))))</f>
        <v/>
      </c>
      <c r="W23" s="183">
        <f>IF(V23="","",IF(LEFT(V23,5)="GREEN","Spin off cluster titles; consider hardcover or Ingram if it is a flagship",IF(LEFT(V23,3)="RED","Stop investing (no ads, no cluster spin-offs); keep the listing live; log why: demand, competition or execution",IF(LEFT(V23,6)="YELLOW","Refresh cover, rewrite keywords, test price; re-score the niche",IF(V23="Too early","Wait for the day-"&amp;Rubric!$B$21&amp;" audit","Keep monitoring")))))</f>
        <v/>
      </c>
      <c r="X23" s="150" t="n"/>
      <c r="Y23" s="150" t="n"/>
    </row>
    <row r="24" ht="30" customHeight="1" s="198">
      <c r="A24" s="150" t="n"/>
      <c r="B24" s="150" t="n"/>
      <c r="C24" s="150" t="n"/>
      <c r="D24" s="150" t="n"/>
      <c r="E24" s="150" t="n"/>
      <c r="F24" s="150" t="n"/>
      <c r="G24" s="151" t="n"/>
      <c r="H24" s="182">
        <f>IF(G24="","",MAX(0,TODAY()-G24))</f>
        <v/>
      </c>
      <c r="I24" s="183">
        <f>IF(G24="","",IF(H24&lt;Rubric!$B$20,"Day "&amp;Rubric!$B$20&amp;" audit: "&amp;TEXT(G24+Rubric!$B$20,"yyyy-mm-dd"),IF(H24&lt;Rubric!$B$21,"Day "&amp;Rubric!$B$21&amp;" audit: "&amp;TEXT(G24+Rubric!$B$21,"yyyy-mm-dd"),IF(H24&lt;Rubric!$B$22,"Day "&amp;Rubric!$B$22&amp;" audit: "&amp;TEXT(G24+Rubric!$B$22,"yyyy-mm-dd"),"All audits done"))))</f>
        <v/>
      </c>
      <c r="J24" s="150" t="n"/>
      <c r="K24" s="150" t="n"/>
      <c r="L24" s="180" t="n"/>
      <c r="M24" s="150" t="n"/>
      <c r="N24" s="150" t="n"/>
      <c r="O24" s="151" t="n"/>
      <c r="P24" s="150" t="n"/>
      <c r="Q24" s="162">
        <f>IF(N(J24)=0,"",N(K24)/J24)</f>
        <v/>
      </c>
      <c r="R24" s="183">
        <f>IF(J24="","",IF(N(J24)&lt;Rubric!$B$31,"Too few sales to judge",IF(Q24&gt;Rubric!$B$28,"QA REVIEW",IF(Q24&gt;IF(F24="Flagship",Rubric!$B$29,Rubric!$B$30),"Watch","OK"))))</f>
        <v/>
      </c>
      <c r="S24" s="183">
        <f>IF(G24="","",IF(O24&lt;&gt;"",O24-G24,IF(N(L24)&gt;=Rubric!$B$24,"Reached – enter date","Not yet")))</f>
        <v/>
      </c>
      <c r="T24" s="184">
        <f>IF(OR(G24="",L24=""),"",L24/IF(N(P24)=0,1,P24))</f>
        <v/>
      </c>
      <c r="U24" s="182">
        <f>IF(C24="","",IFERROR(INDEX(Scoring!$AN$6:$AN$60,MATCH(C24,Scoring!$B$6:$B$60,0)),""))</f>
        <v/>
      </c>
      <c r="V24" s="165">
        <f>IF(G24="","",IF(OR(N(N24)&gt;=Rubric!$B$26,N(M24)&gt;Rubric!$B$27),"GREEN – Scale",IF(AND(H24&gt;=Rubric!$B$22,N(L24)&lt;Rubric!$B$24),"RED – Stop investing",IF(AND(H24&gt;=Rubric!$B$21,N(J24)&lt;Rubric!$B$23),"YELLOW – Underperformer",IF(H24&lt;Rubric!$B$21,"Too early","OK")))))</f>
        <v/>
      </c>
      <c r="W24" s="183">
        <f>IF(V24="","",IF(LEFT(V24,5)="GREEN","Spin off cluster titles; consider hardcover or Ingram if it is a flagship",IF(LEFT(V24,3)="RED","Stop investing (no ads, no cluster spin-offs); keep the listing live; log why: demand, competition or execution",IF(LEFT(V24,6)="YELLOW","Refresh cover, rewrite keywords, test price; re-score the niche",IF(V24="Too early","Wait for the day-"&amp;Rubric!$B$21&amp;" audit","Keep monitoring")))))</f>
        <v/>
      </c>
      <c r="X24" s="150" t="n"/>
      <c r="Y24" s="150" t="n"/>
    </row>
    <row r="25" ht="30" customHeight="1" s="198">
      <c r="A25" s="150" t="n"/>
      <c r="B25" s="150" t="n"/>
      <c r="C25" s="150" t="n"/>
      <c r="D25" s="150" t="n"/>
      <c r="E25" s="150" t="n"/>
      <c r="F25" s="150" t="n"/>
      <c r="G25" s="151" t="n"/>
      <c r="H25" s="182">
        <f>IF(G25="","",MAX(0,TODAY()-G25))</f>
        <v/>
      </c>
      <c r="I25" s="183">
        <f>IF(G25="","",IF(H25&lt;Rubric!$B$20,"Day "&amp;Rubric!$B$20&amp;" audit: "&amp;TEXT(G25+Rubric!$B$20,"yyyy-mm-dd"),IF(H25&lt;Rubric!$B$21,"Day "&amp;Rubric!$B$21&amp;" audit: "&amp;TEXT(G25+Rubric!$B$21,"yyyy-mm-dd"),IF(H25&lt;Rubric!$B$22,"Day "&amp;Rubric!$B$22&amp;" audit: "&amp;TEXT(G25+Rubric!$B$22,"yyyy-mm-dd"),"All audits done"))))</f>
        <v/>
      </c>
      <c r="J25" s="150" t="n"/>
      <c r="K25" s="150" t="n"/>
      <c r="L25" s="180" t="n"/>
      <c r="M25" s="150" t="n"/>
      <c r="N25" s="150" t="n"/>
      <c r="O25" s="151" t="n"/>
      <c r="P25" s="150" t="n"/>
      <c r="Q25" s="162">
        <f>IF(N(J25)=0,"",N(K25)/J25)</f>
        <v/>
      </c>
      <c r="R25" s="183">
        <f>IF(J25="","",IF(N(J25)&lt;Rubric!$B$31,"Too few sales to judge",IF(Q25&gt;Rubric!$B$28,"QA REVIEW",IF(Q25&gt;IF(F25="Flagship",Rubric!$B$29,Rubric!$B$30),"Watch","OK"))))</f>
        <v/>
      </c>
      <c r="S25" s="183">
        <f>IF(G25="","",IF(O25&lt;&gt;"",O25-G25,IF(N(L25)&gt;=Rubric!$B$24,"Reached – enter date","Not yet")))</f>
        <v/>
      </c>
      <c r="T25" s="184">
        <f>IF(OR(G25="",L25=""),"",L25/IF(N(P25)=0,1,P25))</f>
        <v/>
      </c>
      <c r="U25" s="182">
        <f>IF(C25="","",IFERROR(INDEX(Scoring!$AN$6:$AN$60,MATCH(C25,Scoring!$B$6:$B$60,0)),""))</f>
        <v/>
      </c>
      <c r="V25" s="165">
        <f>IF(G25="","",IF(OR(N(N25)&gt;=Rubric!$B$26,N(M25)&gt;Rubric!$B$27),"GREEN – Scale",IF(AND(H25&gt;=Rubric!$B$22,N(L25)&lt;Rubric!$B$24),"RED – Stop investing",IF(AND(H25&gt;=Rubric!$B$21,N(J25)&lt;Rubric!$B$23),"YELLOW – Underperformer",IF(H25&lt;Rubric!$B$21,"Too early","OK")))))</f>
        <v/>
      </c>
      <c r="W25" s="183">
        <f>IF(V25="","",IF(LEFT(V25,5)="GREEN","Spin off cluster titles; consider hardcover or Ingram if it is a flagship",IF(LEFT(V25,3)="RED","Stop investing (no ads, no cluster spin-offs); keep the listing live; log why: demand, competition or execution",IF(LEFT(V25,6)="YELLOW","Refresh cover, rewrite keywords, test price; re-score the niche",IF(V25="Too early","Wait for the day-"&amp;Rubric!$B$21&amp;" audit","Keep monitoring")))))</f>
        <v/>
      </c>
      <c r="X25" s="150" t="n"/>
      <c r="Y25" s="150" t="n"/>
    </row>
    <row r="26" ht="30" customHeight="1" s="198">
      <c r="A26" s="150" t="n"/>
      <c r="B26" s="150" t="n"/>
      <c r="C26" s="150" t="n"/>
      <c r="D26" s="150" t="n"/>
      <c r="E26" s="150" t="n"/>
      <c r="F26" s="150" t="n"/>
      <c r="G26" s="151" t="n"/>
      <c r="H26" s="182">
        <f>IF(G26="","",MAX(0,TODAY()-G26))</f>
        <v/>
      </c>
      <c r="I26" s="183">
        <f>IF(G26="","",IF(H26&lt;Rubric!$B$20,"Day "&amp;Rubric!$B$20&amp;" audit: "&amp;TEXT(G26+Rubric!$B$20,"yyyy-mm-dd"),IF(H26&lt;Rubric!$B$21,"Day "&amp;Rubric!$B$21&amp;" audit: "&amp;TEXT(G26+Rubric!$B$21,"yyyy-mm-dd"),IF(H26&lt;Rubric!$B$22,"Day "&amp;Rubric!$B$22&amp;" audit: "&amp;TEXT(G26+Rubric!$B$22,"yyyy-mm-dd"),"All audits done"))))</f>
        <v/>
      </c>
      <c r="J26" s="150" t="n"/>
      <c r="K26" s="150" t="n"/>
      <c r="L26" s="180" t="n"/>
      <c r="M26" s="150" t="n"/>
      <c r="N26" s="150" t="n"/>
      <c r="O26" s="151" t="n"/>
      <c r="P26" s="150" t="n"/>
      <c r="Q26" s="162">
        <f>IF(N(J26)=0,"",N(K26)/J26)</f>
        <v/>
      </c>
      <c r="R26" s="183">
        <f>IF(J26="","",IF(N(J26)&lt;Rubric!$B$31,"Too few sales to judge",IF(Q26&gt;Rubric!$B$28,"QA REVIEW",IF(Q26&gt;IF(F26="Flagship",Rubric!$B$29,Rubric!$B$30),"Watch","OK"))))</f>
        <v/>
      </c>
      <c r="S26" s="183">
        <f>IF(G26="","",IF(O26&lt;&gt;"",O26-G26,IF(N(L26)&gt;=Rubric!$B$24,"Reached – enter date","Not yet")))</f>
        <v/>
      </c>
      <c r="T26" s="184">
        <f>IF(OR(G26="",L26=""),"",L26/IF(N(P26)=0,1,P26))</f>
        <v/>
      </c>
      <c r="U26" s="182">
        <f>IF(C26="","",IFERROR(INDEX(Scoring!$AN$6:$AN$60,MATCH(C26,Scoring!$B$6:$B$60,0)),""))</f>
        <v/>
      </c>
      <c r="V26" s="165">
        <f>IF(G26="","",IF(OR(N(N26)&gt;=Rubric!$B$26,N(M26)&gt;Rubric!$B$27),"GREEN – Scale",IF(AND(H26&gt;=Rubric!$B$22,N(L26)&lt;Rubric!$B$24),"RED – Stop investing",IF(AND(H26&gt;=Rubric!$B$21,N(J26)&lt;Rubric!$B$23),"YELLOW – Underperformer",IF(H26&lt;Rubric!$B$21,"Too early","OK")))))</f>
        <v/>
      </c>
      <c r="W26" s="183">
        <f>IF(V26="","",IF(LEFT(V26,5)="GREEN","Spin off cluster titles; consider hardcover or Ingram if it is a flagship",IF(LEFT(V26,3)="RED","Stop investing (no ads, no cluster spin-offs); keep the listing live; log why: demand, competition or execution",IF(LEFT(V26,6)="YELLOW","Refresh cover, rewrite keywords, test price; re-score the niche",IF(V26="Too early","Wait for the day-"&amp;Rubric!$B$21&amp;" audit","Keep monitoring")))))</f>
        <v/>
      </c>
      <c r="X26" s="150" t="n"/>
      <c r="Y26" s="150" t="n"/>
    </row>
    <row r="27" ht="30" customHeight="1" s="198">
      <c r="A27" s="150" t="n"/>
      <c r="B27" s="150" t="n"/>
      <c r="C27" s="150" t="n"/>
      <c r="D27" s="150" t="n"/>
      <c r="E27" s="150" t="n"/>
      <c r="F27" s="150" t="n"/>
      <c r="G27" s="151" t="n"/>
      <c r="H27" s="182">
        <f>IF(G27="","",MAX(0,TODAY()-G27))</f>
        <v/>
      </c>
      <c r="I27" s="183">
        <f>IF(G27="","",IF(H27&lt;Rubric!$B$20,"Day "&amp;Rubric!$B$20&amp;" audit: "&amp;TEXT(G27+Rubric!$B$20,"yyyy-mm-dd"),IF(H27&lt;Rubric!$B$21,"Day "&amp;Rubric!$B$21&amp;" audit: "&amp;TEXT(G27+Rubric!$B$21,"yyyy-mm-dd"),IF(H27&lt;Rubric!$B$22,"Day "&amp;Rubric!$B$22&amp;" audit: "&amp;TEXT(G27+Rubric!$B$22,"yyyy-mm-dd"),"All audits done"))))</f>
        <v/>
      </c>
      <c r="J27" s="150" t="n"/>
      <c r="K27" s="150" t="n"/>
      <c r="L27" s="180" t="n"/>
      <c r="M27" s="150" t="n"/>
      <c r="N27" s="150" t="n"/>
      <c r="O27" s="151" t="n"/>
      <c r="P27" s="150" t="n"/>
      <c r="Q27" s="162">
        <f>IF(N(J27)=0,"",N(K27)/J27)</f>
        <v/>
      </c>
      <c r="R27" s="183">
        <f>IF(J27="","",IF(N(J27)&lt;Rubric!$B$31,"Too few sales to judge",IF(Q27&gt;Rubric!$B$28,"QA REVIEW",IF(Q27&gt;IF(F27="Flagship",Rubric!$B$29,Rubric!$B$30),"Watch","OK"))))</f>
        <v/>
      </c>
      <c r="S27" s="183">
        <f>IF(G27="","",IF(O27&lt;&gt;"",O27-G27,IF(N(L27)&gt;=Rubric!$B$24,"Reached – enter date","Not yet")))</f>
        <v/>
      </c>
      <c r="T27" s="184">
        <f>IF(OR(G27="",L27=""),"",L27/IF(N(P27)=0,1,P27))</f>
        <v/>
      </c>
      <c r="U27" s="182">
        <f>IF(C27="","",IFERROR(INDEX(Scoring!$AN$6:$AN$60,MATCH(C27,Scoring!$B$6:$B$60,0)),""))</f>
        <v/>
      </c>
      <c r="V27" s="165">
        <f>IF(G27="","",IF(OR(N(N27)&gt;=Rubric!$B$26,N(M27)&gt;Rubric!$B$27),"GREEN – Scale",IF(AND(H27&gt;=Rubric!$B$22,N(L27)&lt;Rubric!$B$24),"RED – Stop investing",IF(AND(H27&gt;=Rubric!$B$21,N(J27)&lt;Rubric!$B$23),"YELLOW – Underperformer",IF(H27&lt;Rubric!$B$21,"Too early","OK")))))</f>
        <v/>
      </c>
      <c r="W27" s="183">
        <f>IF(V27="","",IF(LEFT(V27,5)="GREEN","Spin off cluster titles; consider hardcover or Ingram if it is a flagship",IF(LEFT(V27,3)="RED","Stop investing (no ads, no cluster spin-offs); keep the listing live; log why: demand, competition or execution",IF(LEFT(V27,6)="YELLOW","Refresh cover, rewrite keywords, test price; re-score the niche",IF(V27="Too early","Wait for the day-"&amp;Rubric!$B$21&amp;" audit","Keep monitoring")))))</f>
        <v/>
      </c>
      <c r="X27" s="150" t="n"/>
      <c r="Y27" s="150" t="n"/>
    </row>
    <row r="28" ht="30" customHeight="1" s="198">
      <c r="A28" s="150" t="n"/>
      <c r="B28" s="150" t="n"/>
      <c r="C28" s="150" t="n"/>
      <c r="D28" s="150" t="n"/>
      <c r="E28" s="150" t="n"/>
      <c r="F28" s="150" t="n"/>
      <c r="G28" s="151" t="n"/>
      <c r="H28" s="182">
        <f>IF(G28="","",MAX(0,TODAY()-G28))</f>
        <v/>
      </c>
      <c r="I28" s="183">
        <f>IF(G28="","",IF(H28&lt;Rubric!$B$20,"Day "&amp;Rubric!$B$20&amp;" audit: "&amp;TEXT(G28+Rubric!$B$20,"yyyy-mm-dd"),IF(H28&lt;Rubric!$B$21,"Day "&amp;Rubric!$B$21&amp;" audit: "&amp;TEXT(G28+Rubric!$B$21,"yyyy-mm-dd"),IF(H28&lt;Rubric!$B$22,"Day "&amp;Rubric!$B$22&amp;" audit: "&amp;TEXT(G28+Rubric!$B$22,"yyyy-mm-dd"),"All audits done"))))</f>
        <v/>
      </c>
      <c r="J28" s="150" t="n"/>
      <c r="K28" s="150" t="n"/>
      <c r="L28" s="180" t="n"/>
      <c r="M28" s="150" t="n"/>
      <c r="N28" s="150" t="n"/>
      <c r="O28" s="151" t="n"/>
      <c r="P28" s="150" t="n"/>
      <c r="Q28" s="162">
        <f>IF(N(J28)=0,"",N(K28)/J28)</f>
        <v/>
      </c>
      <c r="R28" s="183">
        <f>IF(J28="","",IF(N(J28)&lt;Rubric!$B$31,"Too few sales to judge",IF(Q28&gt;Rubric!$B$28,"QA REVIEW",IF(Q28&gt;IF(F28="Flagship",Rubric!$B$29,Rubric!$B$30),"Watch","OK"))))</f>
        <v/>
      </c>
      <c r="S28" s="183">
        <f>IF(G28="","",IF(O28&lt;&gt;"",O28-G28,IF(N(L28)&gt;=Rubric!$B$24,"Reached – enter date","Not yet")))</f>
        <v/>
      </c>
      <c r="T28" s="184">
        <f>IF(OR(G28="",L28=""),"",L28/IF(N(P28)=0,1,P28))</f>
        <v/>
      </c>
      <c r="U28" s="182">
        <f>IF(C28="","",IFERROR(INDEX(Scoring!$AN$6:$AN$60,MATCH(C28,Scoring!$B$6:$B$60,0)),""))</f>
        <v/>
      </c>
      <c r="V28" s="165">
        <f>IF(G28="","",IF(OR(N(N28)&gt;=Rubric!$B$26,N(M28)&gt;Rubric!$B$27),"GREEN – Scale",IF(AND(H28&gt;=Rubric!$B$22,N(L28)&lt;Rubric!$B$24),"RED – Stop investing",IF(AND(H28&gt;=Rubric!$B$21,N(J28)&lt;Rubric!$B$23),"YELLOW – Underperformer",IF(H28&lt;Rubric!$B$21,"Too early","OK")))))</f>
        <v/>
      </c>
      <c r="W28" s="183">
        <f>IF(V28="","",IF(LEFT(V28,5)="GREEN","Spin off cluster titles; consider hardcover or Ingram if it is a flagship",IF(LEFT(V28,3)="RED","Stop investing (no ads, no cluster spin-offs); keep the listing live; log why: demand, competition or execution",IF(LEFT(V28,6)="YELLOW","Refresh cover, rewrite keywords, test price; re-score the niche",IF(V28="Too early","Wait for the day-"&amp;Rubric!$B$21&amp;" audit","Keep monitoring")))))</f>
        <v/>
      </c>
      <c r="X28" s="150" t="n"/>
      <c r="Y28" s="150" t="n"/>
    </row>
    <row r="29" ht="30" customHeight="1" s="198">
      <c r="A29" s="150" t="n"/>
      <c r="B29" s="150" t="n"/>
      <c r="C29" s="150" t="n"/>
      <c r="D29" s="150" t="n"/>
      <c r="E29" s="150" t="n"/>
      <c r="F29" s="150" t="n"/>
      <c r="G29" s="151" t="n"/>
      <c r="H29" s="182">
        <f>IF(G29="","",MAX(0,TODAY()-G29))</f>
        <v/>
      </c>
      <c r="I29" s="183">
        <f>IF(G29="","",IF(H29&lt;Rubric!$B$20,"Day "&amp;Rubric!$B$20&amp;" audit: "&amp;TEXT(G29+Rubric!$B$20,"yyyy-mm-dd"),IF(H29&lt;Rubric!$B$21,"Day "&amp;Rubric!$B$21&amp;" audit: "&amp;TEXT(G29+Rubric!$B$21,"yyyy-mm-dd"),IF(H29&lt;Rubric!$B$22,"Day "&amp;Rubric!$B$22&amp;" audit: "&amp;TEXT(G29+Rubric!$B$22,"yyyy-mm-dd"),"All audits done"))))</f>
        <v/>
      </c>
      <c r="J29" s="150" t="n"/>
      <c r="K29" s="150" t="n"/>
      <c r="L29" s="180" t="n"/>
      <c r="M29" s="150" t="n"/>
      <c r="N29" s="150" t="n"/>
      <c r="O29" s="151" t="n"/>
      <c r="P29" s="150" t="n"/>
      <c r="Q29" s="162">
        <f>IF(N(J29)=0,"",N(K29)/J29)</f>
        <v/>
      </c>
      <c r="R29" s="183">
        <f>IF(J29="","",IF(N(J29)&lt;Rubric!$B$31,"Too few sales to judge",IF(Q29&gt;Rubric!$B$28,"QA REVIEW",IF(Q29&gt;IF(F29="Flagship",Rubric!$B$29,Rubric!$B$30),"Watch","OK"))))</f>
        <v/>
      </c>
      <c r="S29" s="183">
        <f>IF(G29="","",IF(O29&lt;&gt;"",O29-G29,IF(N(L29)&gt;=Rubric!$B$24,"Reached – enter date","Not yet")))</f>
        <v/>
      </c>
      <c r="T29" s="184">
        <f>IF(OR(G29="",L29=""),"",L29/IF(N(P29)=0,1,P29))</f>
        <v/>
      </c>
      <c r="U29" s="182">
        <f>IF(C29="","",IFERROR(INDEX(Scoring!$AN$6:$AN$60,MATCH(C29,Scoring!$B$6:$B$60,0)),""))</f>
        <v/>
      </c>
      <c r="V29" s="165">
        <f>IF(G29="","",IF(OR(N(N29)&gt;=Rubric!$B$26,N(M29)&gt;Rubric!$B$27),"GREEN – Scale",IF(AND(H29&gt;=Rubric!$B$22,N(L29)&lt;Rubric!$B$24),"RED – Stop investing",IF(AND(H29&gt;=Rubric!$B$21,N(J29)&lt;Rubric!$B$23),"YELLOW – Underperformer",IF(H29&lt;Rubric!$B$21,"Too early","OK")))))</f>
        <v/>
      </c>
      <c r="W29" s="183">
        <f>IF(V29="","",IF(LEFT(V29,5)="GREEN","Spin off cluster titles; consider hardcover or Ingram if it is a flagship",IF(LEFT(V29,3)="RED","Stop investing (no ads, no cluster spin-offs); keep the listing live; log why: demand, competition or execution",IF(LEFT(V29,6)="YELLOW","Refresh cover, rewrite keywords, test price; re-score the niche",IF(V29="Too early","Wait for the day-"&amp;Rubric!$B$21&amp;" audit","Keep monitoring")))))</f>
        <v/>
      </c>
      <c r="X29" s="150" t="n"/>
      <c r="Y29" s="150" t="n"/>
    </row>
    <row r="30" ht="30" customHeight="1" s="198">
      <c r="A30" s="150" t="n"/>
      <c r="B30" s="150" t="n"/>
      <c r="C30" s="150" t="n"/>
      <c r="D30" s="150" t="n"/>
      <c r="E30" s="150" t="n"/>
      <c r="F30" s="150" t="n"/>
      <c r="G30" s="151" t="n"/>
      <c r="H30" s="182">
        <f>IF(G30="","",MAX(0,TODAY()-G30))</f>
        <v/>
      </c>
      <c r="I30" s="183">
        <f>IF(G30="","",IF(H30&lt;Rubric!$B$20,"Day "&amp;Rubric!$B$20&amp;" audit: "&amp;TEXT(G30+Rubric!$B$20,"yyyy-mm-dd"),IF(H30&lt;Rubric!$B$21,"Day "&amp;Rubric!$B$21&amp;" audit: "&amp;TEXT(G30+Rubric!$B$21,"yyyy-mm-dd"),IF(H30&lt;Rubric!$B$22,"Day "&amp;Rubric!$B$22&amp;" audit: "&amp;TEXT(G30+Rubric!$B$22,"yyyy-mm-dd"),"All audits done"))))</f>
        <v/>
      </c>
      <c r="J30" s="150" t="n"/>
      <c r="K30" s="150" t="n"/>
      <c r="L30" s="180" t="n"/>
      <c r="M30" s="150" t="n"/>
      <c r="N30" s="150" t="n"/>
      <c r="O30" s="151" t="n"/>
      <c r="P30" s="150" t="n"/>
      <c r="Q30" s="162">
        <f>IF(N(J30)=0,"",N(K30)/J30)</f>
        <v/>
      </c>
      <c r="R30" s="183">
        <f>IF(J30="","",IF(N(J30)&lt;Rubric!$B$31,"Too few sales to judge",IF(Q30&gt;Rubric!$B$28,"QA REVIEW",IF(Q30&gt;IF(F30="Flagship",Rubric!$B$29,Rubric!$B$30),"Watch","OK"))))</f>
        <v/>
      </c>
      <c r="S30" s="183">
        <f>IF(G30="","",IF(O30&lt;&gt;"",O30-G30,IF(N(L30)&gt;=Rubric!$B$24,"Reached – enter date","Not yet")))</f>
        <v/>
      </c>
      <c r="T30" s="184">
        <f>IF(OR(G30="",L30=""),"",L30/IF(N(P30)=0,1,P30))</f>
        <v/>
      </c>
      <c r="U30" s="182">
        <f>IF(C30="","",IFERROR(INDEX(Scoring!$AN$6:$AN$60,MATCH(C30,Scoring!$B$6:$B$60,0)),""))</f>
        <v/>
      </c>
      <c r="V30" s="165">
        <f>IF(G30="","",IF(OR(N(N30)&gt;=Rubric!$B$26,N(M30)&gt;Rubric!$B$27),"GREEN – Scale",IF(AND(H30&gt;=Rubric!$B$22,N(L30)&lt;Rubric!$B$24),"RED – Stop investing",IF(AND(H30&gt;=Rubric!$B$21,N(J30)&lt;Rubric!$B$23),"YELLOW – Underperformer",IF(H30&lt;Rubric!$B$21,"Too early","OK")))))</f>
        <v/>
      </c>
      <c r="W30" s="183">
        <f>IF(V30="","",IF(LEFT(V30,5)="GREEN","Spin off cluster titles; consider hardcover or Ingram if it is a flagship",IF(LEFT(V30,3)="RED","Stop investing (no ads, no cluster spin-offs); keep the listing live; log why: demand, competition or execution",IF(LEFT(V30,6)="YELLOW","Refresh cover, rewrite keywords, test price; re-score the niche",IF(V30="Too early","Wait for the day-"&amp;Rubric!$B$21&amp;" audit","Keep monitoring")))))</f>
        <v/>
      </c>
      <c r="X30" s="150" t="n"/>
      <c r="Y30" s="150" t="n"/>
    </row>
    <row r="31" ht="30" customHeight="1" s="198">
      <c r="A31" s="150" t="n"/>
      <c r="B31" s="150" t="n"/>
      <c r="C31" s="150" t="n"/>
      <c r="D31" s="150" t="n"/>
      <c r="E31" s="150" t="n"/>
      <c r="F31" s="150" t="n"/>
      <c r="G31" s="151" t="n"/>
      <c r="H31" s="182">
        <f>IF(G31="","",MAX(0,TODAY()-G31))</f>
        <v/>
      </c>
      <c r="I31" s="183">
        <f>IF(G31="","",IF(H31&lt;Rubric!$B$20,"Day "&amp;Rubric!$B$20&amp;" audit: "&amp;TEXT(G31+Rubric!$B$20,"yyyy-mm-dd"),IF(H31&lt;Rubric!$B$21,"Day "&amp;Rubric!$B$21&amp;" audit: "&amp;TEXT(G31+Rubric!$B$21,"yyyy-mm-dd"),IF(H31&lt;Rubric!$B$22,"Day "&amp;Rubric!$B$22&amp;" audit: "&amp;TEXT(G31+Rubric!$B$22,"yyyy-mm-dd"),"All audits done"))))</f>
        <v/>
      </c>
      <c r="J31" s="150" t="n"/>
      <c r="K31" s="150" t="n"/>
      <c r="L31" s="180" t="n"/>
      <c r="M31" s="150" t="n"/>
      <c r="N31" s="150" t="n"/>
      <c r="O31" s="151" t="n"/>
      <c r="P31" s="150" t="n"/>
      <c r="Q31" s="162">
        <f>IF(N(J31)=0,"",N(K31)/J31)</f>
        <v/>
      </c>
      <c r="R31" s="183">
        <f>IF(J31="","",IF(N(J31)&lt;Rubric!$B$31,"Too few sales to judge",IF(Q31&gt;Rubric!$B$28,"QA REVIEW",IF(Q31&gt;IF(F31="Flagship",Rubric!$B$29,Rubric!$B$30),"Watch","OK"))))</f>
        <v/>
      </c>
      <c r="S31" s="183">
        <f>IF(G31="","",IF(O31&lt;&gt;"",O31-G31,IF(N(L31)&gt;=Rubric!$B$24,"Reached – enter date","Not yet")))</f>
        <v/>
      </c>
      <c r="T31" s="184">
        <f>IF(OR(G31="",L31=""),"",L31/IF(N(P31)=0,1,P31))</f>
        <v/>
      </c>
      <c r="U31" s="182">
        <f>IF(C31="","",IFERROR(INDEX(Scoring!$AN$6:$AN$60,MATCH(C31,Scoring!$B$6:$B$60,0)),""))</f>
        <v/>
      </c>
      <c r="V31" s="165">
        <f>IF(G31="","",IF(OR(N(N31)&gt;=Rubric!$B$26,N(M31)&gt;Rubric!$B$27),"GREEN – Scale",IF(AND(H31&gt;=Rubric!$B$22,N(L31)&lt;Rubric!$B$24),"RED – Stop investing",IF(AND(H31&gt;=Rubric!$B$21,N(J31)&lt;Rubric!$B$23),"YELLOW – Underperformer",IF(H31&lt;Rubric!$B$21,"Too early","OK")))))</f>
        <v/>
      </c>
      <c r="W31" s="183">
        <f>IF(V31="","",IF(LEFT(V31,5)="GREEN","Spin off cluster titles; consider hardcover or Ingram if it is a flagship",IF(LEFT(V31,3)="RED","Stop investing (no ads, no cluster spin-offs); keep the listing live; log why: demand, competition or execution",IF(LEFT(V31,6)="YELLOW","Refresh cover, rewrite keywords, test price; re-score the niche",IF(V31="Too early","Wait for the day-"&amp;Rubric!$B$21&amp;" audit","Keep monitoring")))))</f>
        <v/>
      </c>
      <c r="X31" s="150" t="n"/>
      <c r="Y31" s="150" t="n"/>
    </row>
    <row r="32" ht="30" customHeight="1" s="198">
      <c r="A32" s="150" t="n"/>
      <c r="B32" s="150" t="n"/>
      <c r="C32" s="150" t="n"/>
      <c r="D32" s="150" t="n"/>
      <c r="E32" s="150" t="n"/>
      <c r="F32" s="150" t="n"/>
      <c r="G32" s="151" t="n"/>
      <c r="H32" s="182">
        <f>IF(G32="","",MAX(0,TODAY()-G32))</f>
        <v/>
      </c>
      <c r="I32" s="183">
        <f>IF(G32="","",IF(H32&lt;Rubric!$B$20,"Day "&amp;Rubric!$B$20&amp;" audit: "&amp;TEXT(G32+Rubric!$B$20,"yyyy-mm-dd"),IF(H32&lt;Rubric!$B$21,"Day "&amp;Rubric!$B$21&amp;" audit: "&amp;TEXT(G32+Rubric!$B$21,"yyyy-mm-dd"),IF(H32&lt;Rubric!$B$22,"Day "&amp;Rubric!$B$22&amp;" audit: "&amp;TEXT(G32+Rubric!$B$22,"yyyy-mm-dd"),"All audits done"))))</f>
        <v/>
      </c>
      <c r="J32" s="150" t="n"/>
      <c r="K32" s="150" t="n"/>
      <c r="L32" s="180" t="n"/>
      <c r="M32" s="150" t="n"/>
      <c r="N32" s="150" t="n"/>
      <c r="O32" s="151" t="n"/>
      <c r="P32" s="150" t="n"/>
      <c r="Q32" s="162">
        <f>IF(N(J32)=0,"",N(K32)/J32)</f>
        <v/>
      </c>
      <c r="R32" s="183">
        <f>IF(J32="","",IF(N(J32)&lt;Rubric!$B$31,"Too few sales to judge",IF(Q32&gt;Rubric!$B$28,"QA REVIEW",IF(Q32&gt;IF(F32="Flagship",Rubric!$B$29,Rubric!$B$30),"Watch","OK"))))</f>
        <v/>
      </c>
      <c r="S32" s="183">
        <f>IF(G32="","",IF(O32&lt;&gt;"",O32-G32,IF(N(L32)&gt;=Rubric!$B$24,"Reached – enter date","Not yet")))</f>
        <v/>
      </c>
      <c r="T32" s="184">
        <f>IF(OR(G32="",L32=""),"",L32/IF(N(P32)=0,1,P32))</f>
        <v/>
      </c>
      <c r="U32" s="182">
        <f>IF(C32="","",IFERROR(INDEX(Scoring!$AN$6:$AN$60,MATCH(C32,Scoring!$B$6:$B$60,0)),""))</f>
        <v/>
      </c>
      <c r="V32" s="165">
        <f>IF(G32="","",IF(OR(N(N32)&gt;=Rubric!$B$26,N(M32)&gt;Rubric!$B$27),"GREEN – Scale",IF(AND(H32&gt;=Rubric!$B$22,N(L32)&lt;Rubric!$B$24),"RED – Stop investing",IF(AND(H32&gt;=Rubric!$B$21,N(J32)&lt;Rubric!$B$23),"YELLOW – Underperformer",IF(H32&lt;Rubric!$B$21,"Too early","OK")))))</f>
        <v/>
      </c>
      <c r="W32" s="183">
        <f>IF(V32="","",IF(LEFT(V32,5)="GREEN","Spin off cluster titles; consider hardcover or Ingram if it is a flagship",IF(LEFT(V32,3)="RED","Stop investing (no ads, no cluster spin-offs); keep the listing live; log why: demand, competition or execution",IF(LEFT(V32,6)="YELLOW","Refresh cover, rewrite keywords, test price; re-score the niche",IF(V32="Too early","Wait for the day-"&amp;Rubric!$B$21&amp;" audit","Keep monitoring")))))</f>
        <v/>
      </c>
      <c r="X32" s="150" t="n"/>
      <c r="Y32" s="150" t="n"/>
    </row>
    <row r="33" ht="30" customHeight="1" s="198">
      <c r="A33" s="150" t="n"/>
      <c r="B33" s="150" t="n"/>
      <c r="C33" s="150" t="n"/>
      <c r="D33" s="150" t="n"/>
      <c r="E33" s="150" t="n"/>
      <c r="F33" s="150" t="n"/>
      <c r="G33" s="151" t="n"/>
      <c r="H33" s="182">
        <f>IF(G33="","",MAX(0,TODAY()-G33))</f>
        <v/>
      </c>
      <c r="I33" s="183">
        <f>IF(G33="","",IF(H33&lt;Rubric!$B$20,"Day "&amp;Rubric!$B$20&amp;" audit: "&amp;TEXT(G33+Rubric!$B$20,"yyyy-mm-dd"),IF(H33&lt;Rubric!$B$21,"Day "&amp;Rubric!$B$21&amp;" audit: "&amp;TEXT(G33+Rubric!$B$21,"yyyy-mm-dd"),IF(H33&lt;Rubric!$B$22,"Day "&amp;Rubric!$B$22&amp;" audit: "&amp;TEXT(G33+Rubric!$B$22,"yyyy-mm-dd"),"All audits done"))))</f>
        <v/>
      </c>
      <c r="J33" s="150" t="n"/>
      <c r="K33" s="150" t="n"/>
      <c r="L33" s="180" t="n"/>
      <c r="M33" s="150" t="n"/>
      <c r="N33" s="150" t="n"/>
      <c r="O33" s="151" t="n"/>
      <c r="P33" s="150" t="n"/>
      <c r="Q33" s="162">
        <f>IF(N(J33)=0,"",N(K33)/J33)</f>
        <v/>
      </c>
      <c r="R33" s="183">
        <f>IF(J33="","",IF(N(J33)&lt;Rubric!$B$31,"Too few sales to judge",IF(Q33&gt;Rubric!$B$28,"QA REVIEW",IF(Q33&gt;IF(F33="Flagship",Rubric!$B$29,Rubric!$B$30),"Watch","OK"))))</f>
        <v/>
      </c>
      <c r="S33" s="183">
        <f>IF(G33="","",IF(O33&lt;&gt;"",O33-G33,IF(N(L33)&gt;=Rubric!$B$24,"Reached – enter date","Not yet")))</f>
        <v/>
      </c>
      <c r="T33" s="184">
        <f>IF(OR(G33="",L33=""),"",L33/IF(N(P33)=0,1,P33))</f>
        <v/>
      </c>
      <c r="U33" s="182">
        <f>IF(C33="","",IFERROR(INDEX(Scoring!$AN$6:$AN$60,MATCH(C33,Scoring!$B$6:$B$60,0)),""))</f>
        <v/>
      </c>
      <c r="V33" s="165">
        <f>IF(G33="","",IF(OR(N(N33)&gt;=Rubric!$B$26,N(M33)&gt;Rubric!$B$27),"GREEN – Scale",IF(AND(H33&gt;=Rubric!$B$22,N(L33)&lt;Rubric!$B$24),"RED – Stop investing",IF(AND(H33&gt;=Rubric!$B$21,N(J33)&lt;Rubric!$B$23),"YELLOW – Underperformer",IF(H33&lt;Rubric!$B$21,"Too early","OK")))))</f>
        <v/>
      </c>
      <c r="W33" s="183">
        <f>IF(V33="","",IF(LEFT(V33,5)="GREEN","Spin off cluster titles; consider hardcover or Ingram if it is a flagship",IF(LEFT(V33,3)="RED","Stop investing (no ads, no cluster spin-offs); keep the listing live; log why: demand, competition or execution",IF(LEFT(V33,6)="YELLOW","Refresh cover, rewrite keywords, test price; re-score the niche",IF(V33="Too early","Wait for the day-"&amp;Rubric!$B$21&amp;" audit","Keep monitoring")))))</f>
        <v/>
      </c>
      <c r="X33" s="150" t="n"/>
      <c r="Y33" s="150" t="n"/>
    </row>
    <row r="34" ht="30" customHeight="1" s="198">
      <c r="A34" s="150" t="n"/>
      <c r="B34" s="150" t="n"/>
      <c r="C34" s="150" t="n"/>
      <c r="D34" s="150" t="n"/>
      <c r="E34" s="150" t="n"/>
      <c r="F34" s="150" t="n"/>
      <c r="G34" s="151" t="n"/>
      <c r="H34" s="182">
        <f>IF(G34="","",MAX(0,TODAY()-G34))</f>
        <v/>
      </c>
      <c r="I34" s="183">
        <f>IF(G34="","",IF(H34&lt;Rubric!$B$20,"Day "&amp;Rubric!$B$20&amp;" audit: "&amp;TEXT(G34+Rubric!$B$20,"yyyy-mm-dd"),IF(H34&lt;Rubric!$B$21,"Day "&amp;Rubric!$B$21&amp;" audit: "&amp;TEXT(G34+Rubric!$B$21,"yyyy-mm-dd"),IF(H34&lt;Rubric!$B$22,"Day "&amp;Rubric!$B$22&amp;" audit: "&amp;TEXT(G34+Rubric!$B$22,"yyyy-mm-dd"),"All audits done"))))</f>
        <v/>
      </c>
      <c r="J34" s="150" t="n"/>
      <c r="K34" s="150" t="n"/>
      <c r="L34" s="180" t="n"/>
      <c r="M34" s="150" t="n"/>
      <c r="N34" s="150" t="n"/>
      <c r="O34" s="151" t="n"/>
      <c r="P34" s="150" t="n"/>
      <c r="Q34" s="162">
        <f>IF(N(J34)=0,"",N(K34)/J34)</f>
        <v/>
      </c>
      <c r="R34" s="183">
        <f>IF(J34="","",IF(N(J34)&lt;Rubric!$B$31,"Too few sales to judge",IF(Q34&gt;Rubric!$B$28,"QA REVIEW",IF(Q34&gt;IF(F34="Flagship",Rubric!$B$29,Rubric!$B$30),"Watch","OK"))))</f>
        <v/>
      </c>
      <c r="S34" s="183">
        <f>IF(G34="","",IF(O34&lt;&gt;"",O34-G34,IF(N(L34)&gt;=Rubric!$B$24,"Reached – enter date","Not yet")))</f>
        <v/>
      </c>
      <c r="T34" s="184">
        <f>IF(OR(G34="",L34=""),"",L34/IF(N(P34)=0,1,P34))</f>
        <v/>
      </c>
      <c r="U34" s="182">
        <f>IF(C34="","",IFERROR(INDEX(Scoring!$AN$6:$AN$60,MATCH(C34,Scoring!$B$6:$B$60,0)),""))</f>
        <v/>
      </c>
      <c r="V34" s="165">
        <f>IF(G34="","",IF(OR(N(N34)&gt;=Rubric!$B$26,N(M34)&gt;Rubric!$B$27),"GREEN – Scale",IF(AND(H34&gt;=Rubric!$B$22,N(L34)&lt;Rubric!$B$24),"RED – Stop investing",IF(AND(H34&gt;=Rubric!$B$21,N(J34)&lt;Rubric!$B$23),"YELLOW – Underperformer",IF(H34&lt;Rubric!$B$21,"Too early","OK")))))</f>
        <v/>
      </c>
      <c r="W34" s="183">
        <f>IF(V34="","",IF(LEFT(V34,5)="GREEN","Spin off cluster titles; consider hardcover or Ingram if it is a flagship",IF(LEFT(V34,3)="RED","Stop investing (no ads, no cluster spin-offs); keep the listing live; log why: demand, competition or execution",IF(LEFT(V34,6)="YELLOW","Refresh cover, rewrite keywords, test price; re-score the niche",IF(V34="Too early","Wait for the day-"&amp;Rubric!$B$21&amp;" audit","Keep monitoring")))))</f>
        <v/>
      </c>
      <c r="X34" s="150" t="n"/>
      <c r="Y34" s="150" t="n"/>
    </row>
    <row r="35" ht="30" customHeight="1" s="198">
      <c r="A35" s="150" t="n"/>
      <c r="B35" s="150" t="n"/>
      <c r="C35" s="150" t="n"/>
      <c r="D35" s="150" t="n"/>
      <c r="E35" s="150" t="n"/>
      <c r="F35" s="150" t="n"/>
      <c r="G35" s="151" t="n"/>
      <c r="H35" s="182">
        <f>IF(G35="","",MAX(0,TODAY()-G35))</f>
        <v/>
      </c>
      <c r="I35" s="183">
        <f>IF(G35="","",IF(H35&lt;Rubric!$B$20,"Day "&amp;Rubric!$B$20&amp;" audit: "&amp;TEXT(G35+Rubric!$B$20,"yyyy-mm-dd"),IF(H35&lt;Rubric!$B$21,"Day "&amp;Rubric!$B$21&amp;" audit: "&amp;TEXT(G35+Rubric!$B$21,"yyyy-mm-dd"),IF(H35&lt;Rubric!$B$22,"Day "&amp;Rubric!$B$22&amp;" audit: "&amp;TEXT(G35+Rubric!$B$22,"yyyy-mm-dd"),"All audits done"))))</f>
        <v/>
      </c>
      <c r="J35" s="150" t="n"/>
      <c r="K35" s="150" t="n"/>
      <c r="L35" s="180" t="n"/>
      <c r="M35" s="150" t="n"/>
      <c r="N35" s="150" t="n"/>
      <c r="O35" s="151" t="n"/>
      <c r="P35" s="150" t="n"/>
      <c r="Q35" s="162">
        <f>IF(N(J35)=0,"",N(K35)/J35)</f>
        <v/>
      </c>
      <c r="R35" s="183">
        <f>IF(J35="","",IF(N(J35)&lt;Rubric!$B$31,"Too few sales to judge",IF(Q35&gt;Rubric!$B$28,"QA REVIEW",IF(Q35&gt;IF(F35="Flagship",Rubric!$B$29,Rubric!$B$30),"Watch","OK"))))</f>
        <v/>
      </c>
      <c r="S35" s="183">
        <f>IF(G35="","",IF(O35&lt;&gt;"",O35-G35,IF(N(L35)&gt;=Rubric!$B$24,"Reached – enter date","Not yet")))</f>
        <v/>
      </c>
      <c r="T35" s="184">
        <f>IF(OR(G35="",L35=""),"",L35/IF(N(P35)=0,1,P35))</f>
        <v/>
      </c>
      <c r="U35" s="182">
        <f>IF(C35="","",IFERROR(INDEX(Scoring!$AN$6:$AN$60,MATCH(C35,Scoring!$B$6:$B$60,0)),""))</f>
        <v/>
      </c>
      <c r="V35" s="165">
        <f>IF(G35="","",IF(OR(N(N35)&gt;=Rubric!$B$26,N(M35)&gt;Rubric!$B$27),"GREEN – Scale",IF(AND(H35&gt;=Rubric!$B$22,N(L35)&lt;Rubric!$B$24),"RED – Stop investing",IF(AND(H35&gt;=Rubric!$B$21,N(J35)&lt;Rubric!$B$23),"YELLOW – Underperformer",IF(H35&lt;Rubric!$B$21,"Too early","OK")))))</f>
        <v/>
      </c>
      <c r="W35" s="183">
        <f>IF(V35="","",IF(LEFT(V35,5)="GREEN","Spin off cluster titles; consider hardcover or Ingram if it is a flagship",IF(LEFT(V35,3)="RED","Stop investing (no ads, no cluster spin-offs); keep the listing live; log why: demand, competition or execution",IF(LEFT(V35,6)="YELLOW","Refresh cover, rewrite keywords, test price; re-score the niche",IF(V35="Too early","Wait for the day-"&amp;Rubric!$B$21&amp;" audit","Keep monitoring")))))</f>
        <v/>
      </c>
      <c r="X35" s="150" t="n"/>
      <c r="Y35" s="150" t="n"/>
    </row>
    <row r="36" ht="30" customHeight="1" s="198">
      <c r="A36" s="150" t="n"/>
      <c r="B36" s="150" t="n"/>
      <c r="C36" s="150" t="n"/>
      <c r="D36" s="150" t="n"/>
      <c r="E36" s="150" t="n"/>
      <c r="F36" s="150" t="n"/>
      <c r="G36" s="151" t="n"/>
      <c r="H36" s="182">
        <f>IF(G36="","",MAX(0,TODAY()-G36))</f>
        <v/>
      </c>
      <c r="I36" s="183">
        <f>IF(G36="","",IF(H36&lt;Rubric!$B$20,"Day "&amp;Rubric!$B$20&amp;" audit: "&amp;TEXT(G36+Rubric!$B$20,"yyyy-mm-dd"),IF(H36&lt;Rubric!$B$21,"Day "&amp;Rubric!$B$21&amp;" audit: "&amp;TEXT(G36+Rubric!$B$21,"yyyy-mm-dd"),IF(H36&lt;Rubric!$B$22,"Day "&amp;Rubric!$B$22&amp;" audit: "&amp;TEXT(G36+Rubric!$B$22,"yyyy-mm-dd"),"All audits done"))))</f>
        <v/>
      </c>
      <c r="J36" s="150" t="n"/>
      <c r="K36" s="150" t="n"/>
      <c r="L36" s="180" t="n"/>
      <c r="M36" s="150" t="n"/>
      <c r="N36" s="150" t="n"/>
      <c r="O36" s="151" t="n"/>
      <c r="P36" s="150" t="n"/>
      <c r="Q36" s="162">
        <f>IF(N(J36)=0,"",N(K36)/J36)</f>
        <v/>
      </c>
      <c r="R36" s="183">
        <f>IF(J36="","",IF(N(J36)&lt;Rubric!$B$31,"Too few sales to judge",IF(Q36&gt;Rubric!$B$28,"QA REVIEW",IF(Q36&gt;IF(F36="Flagship",Rubric!$B$29,Rubric!$B$30),"Watch","OK"))))</f>
        <v/>
      </c>
      <c r="S36" s="183">
        <f>IF(G36="","",IF(O36&lt;&gt;"",O36-G36,IF(N(L36)&gt;=Rubric!$B$24,"Reached – enter date","Not yet")))</f>
        <v/>
      </c>
      <c r="T36" s="184">
        <f>IF(OR(G36="",L36=""),"",L36/IF(N(P36)=0,1,P36))</f>
        <v/>
      </c>
      <c r="U36" s="182">
        <f>IF(C36="","",IFERROR(INDEX(Scoring!$AN$6:$AN$60,MATCH(C36,Scoring!$B$6:$B$60,0)),""))</f>
        <v/>
      </c>
      <c r="V36" s="165">
        <f>IF(G36="","",IF(OR(N(N36)&gt;=Rubric!$B$26,N(M36)&gt;Rubric!$B$27),"GREEN – Scale",IF(AND(H36&gt;=Rubric!$B$22,N(L36)&lt;Rubric!$B$24),"RED – Stop investing",IF(AND(H36&gt;=Rubric!$B$21,N(J36)&lt;Rubric!$B$23),"YELLOW – Underperformer",IF(H36&lt;Rubric!$B$21,"Too early","OK")))))</f>
        <v/>
      </c>
      <c r="W36" s="183">
        <f>IF(V36="","",IF(LEFT(V36,5)="GREEN","Spin off cluster titles; consider hardcover or Ingram if it is a flagship",IF(LEFT(V36,3)="RED","Stop investing (no ads, no cluster spin-offs); keep the listing live; log why: demand, competition or execution",IF(LEFT(V36,6)="YELLOW","Refresh cover, rewrite keywords, test price; re-score the niche",IF(V36="Too early","Wait for the day-"&amp;Rubric!$B$21&amp;" audit","Keep monitoring")))))</f>
        <v/>
      </c>
      <c r="X36" s="150" t="n"/>
      <c r="Y36" s="150" t="n"/>
    </row>
    <row r="37" ht="30" customHeight="1" s="198">
      <c r="A37" s="150" t="n"/>
      <c r="B37" s="150" t="n"/>
      <c r="C37" s="150" t="n"/>
      <c r="D37" s="150" t="n"/>
      <c r="E37" s="150" t="n"/>
      <c r="F37" s="150" t="n"/>
      <c r="G37" s="151" t="n"/>
      <c r="H37" s="182">
        <f>IF(G37="","",MAX(0,TODAY()-G37))</f>
        <v/>
      </c>
      <c r="I37" s="183">
        <f>IF(G37="","",IF(H37&lt;Rubric!$B$20,"Day "&amp;Rubric!$B$20&amp;" audit: "&amp;TEXT(G37+Rubric!$B$20,"yyyy-mm-dd"),IF(H37&lt;Rubric!$B$21,"Day "&amp;Rubric!$B$21&amp;" audit: "&amp;TEXT(G37+Rubric!$B$21,"yyyy-mm-dd"),IF(H37&lt;Rubric!$B$22,"Day "&amp;Rubric!$B$22&amp;" audit: "&amp;TEXT(G37+Rubric!$B$22,"yyyy-mm-dd"),"All audits done"))))</f>
        <v/>
      </c>
      <c r="J37" s="150" t="n"/>
      <c r="K37" s="150" t="n"/>
      <c r="L37" s="180" t="n"/>
      <c r="M37" s="150" t="n"/>
      <c r="N37" s="150" t="n"/>
      <c r="O37" s="151" t="n"/>
      <c r="P37" s="150" t="n"/>
      <c r="Q37" s="162">
        <f>IF(N(J37)=0,"",N(K37)/J37)</f>
        <v/>
      </c>
      <c r="R37" s="183">
        <f>IF(J37="","",IF(N(J37)&lt;Rubric!$B$31,"Too few sales to judge",IF(Q37&gt;Rubric!$B$28,"QA REVIEW",IF(Q37&gt;IF(F37="Flagship",Rubric!$B$29,Rubric!$B$30),"Watch","OK"))))</f>
        <v/>
      </c>
      <c r="S37" s="183">
        <f>IF(G37="","",IF(O37&lt;&gt;"",O37-G37,IF(N(L37)&gt;=Rubric!$B$24,"Reached – enter date","Not yet")))</f>
        <v/>
      </c>
      <c r="T37" s="184">
        <f>IF(OR(G37="",L37=""),"",L37/IF(N(P37)=0,1,P37))</f>
        <v/>
      </c>
      <c r="U37" s="182">
        <f>IF(C37="","",IFERROR(INDEX(Scoring!$AN$6:$AN$60,MATCH(C37,Scoring!$B$6:$B$60,0)),""))</f>
        <v/>
      </c>
      <c r="V37" s="165">
        <f>IF(G37="","",IF(OR(N(N37)&gt;=Rubric!$B$26,N(M37)&gt;Rubric!$B$27),"GREEN – Scale",IF(AND(H37&gt;=Rubric!$B$22,N(L37)&lt;Rubric!$B$24),"RED – Stop investing",IF(AND(H37&gt;=Rubric!$B$21,N(J37)&lt;Rubric!$B$23),"YELLOW – Underperformer",IF(H37&lt;Rubric!$B$21,"Too early","OK")))))</f>
        <v/>
      </c>
      <c r="W37" s="183">
        <f>IF(V37="","",IF(LEFT(V37,5)="GREEN","Spin off cluster titles; consider hardcover or Ingram if it is a flagship",IF(LEFT(V37,3)="RED","Stop investing (no ads, no cluster spin-offs); keep the listing live; log why: demand, competition or execution",IF(LEFT(V37,6)="YELLOW","Refresh cover, rewrite keywords, test price; re-score the niche",IF(V37="Too early","Wait for the day-"&amp;Rubric!$B$21&amp;" audit","Keep monitoring")))))</f>
        <v/>
      </c>
      <c r="X37" s="150" t="n"/>
      <c r="Y37" s="150" t="n"/>
    </row>
    <row r="38" ht="30" customHeight="1" s="198">
      <c r="A38" s="150" t="n"/>
      <c r="B38" s="150" t="n"/>
      <c r="C38" s="150" t="n"/>
      <c r="D38" s="150" t="n"/>
      <c r="E38" s="150" t="n"/>
      <c r="F38" s="150" t="n"/>
      <c r="G38" s="151" t="n"/>
      <c r="H38" s="182">
        <f>IF(G38="","",MAX(0,TODAY()-G38))</f>
        <v/>
      </c>
      <c r="I38" s="183">
        <f>IF(G38="","",IF(H38&lt;Rubric!$B$20,"Day "&amp;Rubric!$B$20&amp;" audit: "&amp;TEXT(G38+Rubric!$B$20,"yyyy-mm-dd"),IF(H38&lt;Rubric!$B$21,"Day "&amp;Rubric!$B$21&amp;" audit: "&amp;TEXT(G38+Rubric!$B$21,"yyyy-mm-dd"),IF(H38&lt;Rubric!$B$22,"Day "&amp;Rubric!$B$22&amp;" audit: "&amp;TEXT(G38+Rubric!$B$22,"yyyy-mm-dd"),"All audits done"))))</f>
        <v/>
      </c>
      <c r="J38" s="150" t="n"/>
      <c r="K38" s="150" t="n"/>
      <c r="L38" s="180" t="n"/>
      <c r="M38" s="150" t="n"/>
      <c r="N38" s="150" t="n"/>
      <c r="O38" s="151" t="n"/>
      <c r="P38" s="150" t="n"/>
      <c r="Q38" s="162">
        <f>IF(N(J38)=0,"",N(K38)/J38)</f>
        <v/>
      </c>
      <c r="R38" s="183">
        <f>IF(J38="","",IF(N(J38)&lt;Rubric!$B$31,"Too few sales to judge",IF(Q38&gt;Rubric!$B$28,"QA REVIEW",IF(Q38&gt;IF(F38="Flagship",Rubric!$B$29,Rubric!$B$30),"Watch","OK"))))</f>
        <v/>
      </c>
      <c r="S38" s="183">
        <f>IF(G38="","",IF(O38&lt;&gt;"",O38-G38,IF(N(L38)&gt;=Rubric!$B$24,"Reached – enter date","Not yet")))</f>
        <v/>
      </c>
      <c r="T38" s="184">
        <f>IF(OR(G38="",L38=""),"",L38/IF(N(P38)=0,1,P38))</f>
        <v/>
      </c>
      <c r="U38" s="182">
        <f>IF(C38="","",IFERROR(INDEX(Scoring!$AN$6:$AN$60,MATCH(C38,Scoring!$B$6:$B$60,0)),""))</f>
        <v/>
      </c>
      <c r="V38" s="165">
        <f>IF(G38="","",IF(OR(N(N38)&gt;=Rubric!$B$26,N(M38)&gt;Rubric!$B$27),"GREEN – Scale",IF(AND(H38&gt;=Rubric!$B$22,N(L38)&lt;Rubric!$B$24),"RED – Stop investing",IF(AND(H38&gt;=Rubric!$B$21,N(J38)&lt;Rubric!$B$23),"YELLOW – Underperformer",IF(H38&lt;Rubric!$B$21,"Too early","OK")))))</f>
        <v/>
      </c>
      <c r="W38" s="183">
        <f>IF(V38="","",IF(LEFT(V38,5)="GREEN","Spin off cluster titles; consider hardcover or Ingram if it is a flagship",IF(LEFT(V38,3)="RED","Stop investing (no ads, no cluster spin-offs); keep the listing live; log why: demand, competition or execution",IF(LEFT(V38,6)="YELLOW","Refresh cover, rewrite keywords, test price; re-score the niche",IF(V38="Too early","Wait for the day-"&amp;Rubric!$B$21&amp;" audit","Keep monitoring")))))</f>
        <v/>
      </c>
      <c r="X38" s="150" t="n"/>
      <c r="Y38" s="150" t="n"/>
    </row>
    <row r="39" ht="30" customHeight="1" s="198">
      <c r="A39" s="150" t="n"/>
      <c r="B39" s="150" t="n"/>
      <c r="C39" s="150" t="n"/>
      <c r="D39" s="150" t="n"/>
      <c r="E39" s="150" t="n"/>
      <c r="F39" s="150" t="n"/>
      <c r="G39" s="151" t="n"/>
      <c r="H39" s="182">
        <f>IF(G39="","",MAX(0,TODAY()-G39))</f>
        <v/>
      </c>
      <c r="I39" s="183">
        <f>IF(G39="","",IF(H39&lt;Rubric!$B$20,"Day "&amp;Rubric!$B$20&amp;" audit: "&amp;TEXT(G39+Rubric!$B$20,"yyyy-mm-dd"),IF(H39&lt;Rubric!$B$21,"Day "&amp;Rubric!$B$21&amp;" audit: "&amp;TEXT(G39+Rubric!$B$21,"yyyy-mm-dd"),IF(H39&lt;Rubric!$B$22,"Day "&amp;Rubric!$B$22&amp;" audit: "&amp;TEXT(G39+Rubric!$B$22,"yyyy-mm-dd"),"All audits done"))))</f>
        <v/>
      </c>
      <c r="J39" s="150" t="n"/>
      <c r="K39" s="150" t="n"/>
      <c r="L39" s="180" t="n"/>
      <c r="M39" s="150" t="n"/>
      <c r="N39" s="150" t="n"/>
      <c r="O39" s="151" t="n"/>
      <c r="P39" s="150" t="n"/>
      <c r="Q39" s="162">
        <f>IF(N(J39)=0,"",N(K39)/J39)</f>
        <v/>
      </c>
      <c r="R39" s="183">
        <f>IF(J39="","",IF(N(J39)&lt;Rubric!$B$31,"Too few sales to judge",IF(Q39&gt;Rubric!$B$28,"QA REVIEW",IF(Q39&gt;IF(F39="Flagship",Rubric!$B$29,Rubric!$B$30),"Watch","OK"))))</f>
        <v/>
      </c>
      <c r="S39" s="183">
        <f>IF(G39="","",IF(O39&lt;&gt;"",O39-G39,IF(N(L39)&gt;=Rubric!$B$24,"Reached – enter date","Not yet")))</f>
        <v/>
      </c>
      <c r="T39" s="184">
        <f>IF(OR(G39="",L39=""),"",L39/IF(N(P39)=0,1,P39))</f>
        <v/>
      </c>
      <c r="U39" s="182">
        <f>IF(C39="","",IFERROR(INDEX(Scoring!$AN$6:$AN$60,MATCH(C39,Scoring!$B$6:$B$60,0)),""))</f>
        <v/>
      </c>
      <c r="V39" s="165">
        <f>IF(G39="","",IF(OR(N(N39)&gt;=Rubric!$B$26,N(M39)&gt;Rubric!$B$27),"GREEN – Scale",IF(AND(H39&gt;=Rubric!$B$22,N(L39)&lt;Rubric!$B$24),"RED – Stop investing",IF(AND(H39&gt;=Rubric!$B$21,N(J39)&lt;Rubric!$B$23),"YELLOW – Underperformer",IF(H39&lt;Rubric!$B$21,"Too early","OK")))))</f>
        <v/>
      </c>
      <c r="W39" s="183">
        <f>IF(V39="","",IF(LEFT(V39,5)="GREEN","Spin off cluster titles; consider hardcover or Ingram if it is a flagship",IF(LEFT(V39,3)="RED","Stop investing (no ads, no cluster spin-offs); keep the listing live; log why: demand, competition or execution",IF(LEFT(V39,6)="YELLOW","Refresh cover, rewrite keywords, test price; re-score the niche",IF(V39="Too early","Wait for the day-"&amp;Rubric!$B$21&amp;" audit","Keep monitoring")))))</f>
        <v/>
      </c>
      <c r="X39" s="150" t="n"/>
      <c r="Y39" s="150" t="n"/>
    </row>
    <row r="40" ht="30" customHeight="1" s="198">
      <c r="A40" s="150" t="n"/>
      <c r="B40" s="150" t="n"/>
      <c r="C40" s="150" t="n"/>
      <c r="D40" s="150" t="n"/>
      <c r="E40" s="150" t="n"/>
      <c r="F40" s="150" t="n"/>
      <c r="G40" s="151" t="n"/>
      <c r="H40" s="182">
        <f>IF(G40="","",MAX(0,TODAY()-G40))</f>
        <v/>
      </c>
      <c r="I40" s="183">
        <f>IF(G40="","",IF(H40&lt;Rubric!$B$20,"Day "&amp;Rubric!$B$20&amp;" audit: "&amp;TEXT(G40+Rubric!$B$20,"yyyy-mm-dd"),IF(H40&lt;Rubric!$B$21,"Day "&amp;Rubric!$B$21&amp;" audit: "&amp;TEXT(G40+Rubric!$B$21,"yyyy-mm-dd"),IF(H40&lt;Rubric!$B$22,"Day "&amp;Rubric!$B$22&amp;" audit: "&amp;TEXT(G40+Rubric!$B$22,"yyyy-mm-dd"),"All audits done"))))</f>
        <v/>
      </c>
      <c r="J40" s="150" t="n"/>
      <c r="K40" s="150" t="n"/>
      <c r="L40" s="180" t="n"/>
      <c r="M40" s="150" t="n"/>
      <c r="N40" s="150" t="n"/>
      <c r="O40" s="151" t="n"/>
      <c r="P40" s="150" t="n"/>
      <c r="Q40" s="162">
        <f>IF(N(J40)=0,"",N(K40)/J40)</f>
        <v/>
      </c>
      <c r="R40" s="183">
        <f>IF(J40="","",IF(N(J40)&lt;Rubric!$B$31,"Too few sales to judge",IF(Q40&gt;Rubric!$B$28,"QA REVIEW",IF(Q40&gt;IF(F40="Flagship",Rubric!$B$29,Rubric!$B$30),"Watch","OK"))))</f>
        <v/>
      </c>
      <c r="S40" s="183">
        <f>IF(G40="","",IF(O40&lt;&gt;"",O40-G40,IF(N(L40)&gt;=Rubric!$B$24,"Reached – enter date","Not yet")))</f>
        <v/>
      </c>
      <c r="T40" s="184">
        <f>IF(OR(G40="",L40=""),"",L40/IF(N(P40)=0,1,P40))</f>
        <v/>
      </c>
      <c r="U40" s="182">
        <f>IF(C40="","",IFERROR(INDEX(Scoring!$AN$6:$AN$60,MATCH(C40,Scoring!$B$6:$B$60,0)),""))</f>
        <v/>
      </c>
      <c r="V40" s="165">
        <f>IF(G40="","",IF(OR(N(N40)&gt;=Rubric!$B$26,N(M40)&gt;Rubric!$B$27),"GREEN – Scale",IF(AND(H40&gt;=Rubric!$B$22,N(L40)&lt;Rubric!$B$24),"RED – Stop investing",IF(AND(H40&gt;=Rubric!$B$21,N(J40)&lt;Rubric!$B$23),"YELLOW – Underperformer",IF(H40&lt;Rubric!$B$21,"Too early","OK")))))</f>
        <v/>
      </c>
      <c r="W40" s="183">
        <f>IF(V40="","",IF(LEFT(V40,5)="GREEN","Spin off cluster titles; consider hardcover or Ingram if it is a flagship",IF(LEFT(V40,3)="RED","Stop investing (no ads, no cluster spin-offs); keep the listing live; log why: demand, competition or execution",IF(LEFT(V40,6)="YELLOW","Refresh cover, rewrite keywords, test price; re-score the niche",IF(V40="Too early","Wait for the day-"&amp;Rubric!$B$21&amp;" audit","Keep monitoring")))))</f>
        <v/>
      </c>
      <c r="X40" s="150" t="n"/>
      <c r="Y40" s="150" t="n"/>
    </row>
    <row r="41" ht="30" customHeight="1" s="198">
      <c r="A41" s="150" t="n"/>
      <c r="B41" s="150" t="n"/>
      <c r="C41" s="150" t="n"/>
      <c r="D41" s="150" t="n"/>
      <c r="E41" s="150" t="n"/>
      <c r="F41" s="150" t="n"/>
      <c r="G41" s="151" t="n"/>
      <c r="H41" s="182">
        <f>IF(G41="","",MAX(0,TODAY()-G41))</f>
        <v/>
      </c>
      <c r="I41" s="183">
        <f>IF(G41="","",IF(H41&lt;Rubric!$B$20,"Day "&amp;Rubric!$B$20&amp;" audit: "&amp;TEXT(G41+Rubric!$B$20,"yyyy-mm-dd"),IF(H41&lt;Rubric!$B$21,"Day "&amp;Rubric!$B$21&amp;" audit: "&amp;TEXT(G41+Rubric!$B$21,"yyyy-mm-dd"),IF(H41&lt;Rubric!$B$22,"Day "&amp;Rubric!$B$22&amp;" audit: "&amp;TEXT(G41+Rubric!$B$22,"yyyy-mm-dd"),"All audits done"))))</f>
        <v/>
      </c>
      <c r="J41" s="150" t="n"/>
      <c r="K41" s="150" t="n"/>
      <c r="L41" s="180" t="n"/>
      <c r="M41" s="150" t="n"/>
      <c r="N41" s="150" t="n"/>
      <c r="O41" s="151" t="n"/>
      <c r="P41" s="150" t="n"/>
      <c r="Q41" s="162">
        <f>IF(N(J41)=0,"",N(K41)/J41)</f>
        <v/>
      </c>
      <c r="R41" s="183">
        <f>IF(J41="","",IF(N(J41)&lt;Rubric!$B$31,"Too few sales to judge",IF(Q41&gt;Rubric!$B$28,"QA REVIEW",IF(Q41&gt;IF(F41="Flagship",Rubric!$B$29,Rubric!$B$30),"Watch","OK"))))</f>
        <v/>
      </c>
      <c r="S41" s="183">
        <f>IF(G41="","",IF(O41&lt;&gt;"",O41-G41,IF(N(L41)&gt;=Rubric!$B$24,"Reached – enter date","Not yet")))</f>
        <v/>
      </c>
      <c r="T41" s="184">
        <f>IF(OR(G41="",L41=""),"",L41/IF(N(P41)=0,1,P41))</f>
        <v/>
      </c>
      <c r="U41" s="182">
        <f>IF(C41="","",IFERROR(INDEX(Scoring!$AN$6:$AN$60,MATCH(C41,Scoring!$B$6:$B$60,0)),""))</f>
        <v/>
      </c>
      <c r="V41" s="165">
        <f>IF(G41="","",IF(OR(N(N41)&gt;=Rubric!$B$26,N(M41)&gt;Rubric!$B$27),"GREEN – Scale",IF(AND(H41&gt;=Rubric!$B$22,N(L41)&lt;Rubric!$B$24),"RED – Stop investing",IF(AND(H41&gt;=Rubric!$B$21,N(J41)&lt;Rubric!$B$23),"YELLOW – Underperformer",IF(H41&lt;Rubric!$B$21,"Too early","OK")))))</f>
        <v/>
      </c>
      <c r="W41" s="183">
        <f>IF(V41="","",IF(LEFT(V41,5)="GREEN","Spin off cluster titles; consider hardcover or Ingram if it is a flagship",IF(LEFT(V41,3)="RED","Stop investing (no ads, no cluster spin-offs); keep the listing live; log why: demand, competition or execution",IF(LEFT(V41,6)="YELLOW","Refresh cover, rewrite keywords, test price; re-score the niche",IF(V41="Too early","Wait for the day-"&amp;Rubric!$B$21&amp;" audit","Keep monitoring")))))</f>
        <v/>
      </c>
      <c r="X41" s="150" t="n"/>
      <c r="Y41" s="150" t="n"/>
    </row>
    <row r="42" ht="30" customHeight="1" s="198">
      <c r="A42" s="150" t="n"/>
      <c r="B42" s="150" t="n"/>
      <c r="C42" s="150" t="n"/>
      <c r="D42" s="150" t="n"/>
      <c r="E42" s="150" t="n"/>
      <c r="F42" s="150" t="n"/>
      <c r="G42" s="151" t="n"/>
      <c r="H42" s="182">
        <f>IF(G42="","",MAX(0,TODAY()-G42))</f>
        <v/>
      </c>
      <c r="I42" s="183">
        <f>IF(G42="","",IF(H42&lt;Rubric!$B$20,"Day "&amp;Rubric!$B$20&amp;" audit: "&amp;TEXT(G42+Rubric!$B$20,"yyyy-mm-dd"),IF(H42&lt;Rubric!$B$21,"Day "&amp;Rubric!$B$21&amp;" audit: "&amp;TEXT(G42+Rubric!$B$21,"yyyy-mm-dd"),IF(H42&lt;Rubric!$B$22,"Day "&amp;Rubric!$B$22&amp;" audit: "&amp;TEXT(G42+Rubric!$B$22,"yyyy-mm-dd"),"All audits done"))))</f>
        <v/>
      </c>
      <c r="J42" s="150" t="n"/>
      <c r="K42" s="150" t="n"/>
      <c r="L42" s="180" t="n"/>
      <c r="M42" s="150" t="n"/>
      <c r="N42" s="150" t="n"/>
      <c r="O42" s="151" t="n"/>
      <c r="P42" s="150" t="n"/>
      <c r="Q42" s="162">
        <f>IF(N(J42)=0,"",N(K42)/J42)</f>
        <v/>
      </c>
      <c r="R42" s="183">
        <f>IF(J42="","",IF(N(J42)&lt;Rubric!$B$31,"Too few sales to judge",IF(Q42&gt;Rubric!$B$28,"QA REVIEW",IF(Q42&gt;IF(F42="Flagship",Rubric!$B$29,Rubric!$B$30),"Watch","OK"))))</f>
        <v/>
      </c>
      <c r="S42" s="183">
        <f>IF(G42="","",IF(O42&lt;&gt;"",O42-G42,IF(N(L42)&gt;=Rubric!$B$24,"Reached – enter date","Not yet")))</f>
        <v/>
      </c>
      <c r="T42" s="184">
        <f>IF(OR(G42="",L42=""),"",L42/IF(N(P42)=0,1,P42))</f>
        <v/>
      </c>
      <c r="U42" s="182">
        <f>IF(C42="","",IFERROR(INDEX(Scoring!$AN$6:$AN$60,MATCH(C42,Scoring!$B$6:$B$60,0)),""))</f>
        <v/>
      </c>
      <c r="V42" s="165">
        <f>IF(G42="","",IF(OR(N(N42)&gt;=Rubric!$B$26,N(M42)&gt;Rubric!$B$27),"GREEN – Scale",IF(AND(H42&gt;=Rubric!$B$22,N(L42)&lt;Rubric!$B$24),"RED – Stop investing",IF(AND(H42&gt;=Rubric!$B$21,N(J42)&lt;Rubric!$B$23),"YELLOW – Underperformer",IF(H42&lt;Rubric!$B$21,"Too early","OK")))))</f>
        <v/>
      </c>
      <c r="W42" s="183">
        <f>IF(V42="","",IF(LEFT(V42,5)="GREEN","Spin off cluster titles; consider hardcover or Ingram if it is a flagship",IF(LEFT(V42,3)="RED","Stop investing (no ads, no cluster spin-offs); keep the listing live; log why: demand, competition or execution",IF(LEFT(V42,6)="YELLOW","Refresh cover, rewrite keywords, test price; re-score the niche",IF(V42="Too early","Wait for the day-"&amp;Rubric!$B$21&amp;" audit","Keep monitoring")))))</f>
        <v/>
      </c>
      <c r="X42" s="150" t="n"/>
      <c r="Y42" s="150" t="n"/>
    </row>
    <row r="43" ht="30" customHeight="1" s="198">
      <c r="A43" s="150" t="n"/>
      <c r="B43" s="150" t="n"/>
      <c r="C43" s="150" t="n"/>
      <c r="D43" s="150" t="n"/>
      <c r="E43" s="150" t="n"/>
      <c r="F43" s="150" t="n"/>
      <c r="G43" s="151" t="n"/>
      <c r="H43" s="182">
        <f>IF(G43="","",MAX(0,TODAY()-G43))</f>
        <v/>
      </c>
      <c r="I43" s="183">
        <f>IF(G43="","",IF(H43&lt;Rubric!$B$20,"Day "&amp;Rubric!$B$20&amp;" audit: "&amp;TEXT(G43+Rubric!$B$20,"yyyy-mm-dd"),IF(H43&lt;Rubric!$B$21,"Day "&amp;Rubric!$B$21&amp;" audit: "&amp;TEXT(G43+Rubric!$B$21,"yyyy-mm-dd"),IF(H43&lt;Rubric!$B$22,"Day "&amp;Rubric!$B$22&amp;" audit: "&amp;TEXT(G43+Rubric!$B$22,"yyyy-mm-dd"),"All audits done"))))</f>
        <v/>
      </c>
      <c r="J43" s="150" t="n"/>
      <c r="K43" s="150" t="n"/>
      <c r="L43" s="180" t="n"/>
      <c r="M43" s="150" t="n"/>
      <c r="N43" s="150" t="n"/>
      <c r="O43" s="151" t="n"/>
      <c r="P43" s="150" t="n"/>
      <c r="Q43" s="162">
        <f>IF(N(J43)=0,"",N(K43)/J43)</f>
        <v/>
      </c>
      <c r="R43" s="183">
        <f>IF(J43="","",IF(N(J43)&lt;Rubric!$B$31,"Too few sales to judge",IF(Q43&gt;Rubric!$B$28,"QA REVIEW",IF(Q43&gt;IF(F43="Flagship",Rubric!$B$29,Rubric!$B$30),"Watch","OK"))))</f>
        <v/>
      </c>
      <c r="S43" s="183">
        <f>IF(G43="","",IF(O43&lt;&gt;"",O43-G43,IF(N(L43)&gt;=Rubric!$B$24,"Reached – enter date","Not yet")))</f>
        <v/>
      </c>
      <c r="T43" s="184">
        <f>IF(OR(G43="",L43=""),"",L43/IF(N(P43)=0,1,P43))</f>
        <v/>
      </c>
      <c r="U43" s="182">
        <f>IF(C43="","",IFERROR(INDEX(Scoring!$AN$6:$AN$60,MATCH(C43,Scoring!$B$6:$B$60,0)),""))</f>
        <v/>
      </c>
      <c r="V43" s="165">
        <f>IF(G43="","",IF(OR(N(N43)&gt;=Rubric!$B$26,N(M43)&gt;Rubric!$B$27),"GREEN – Scale",IF(AND(H43&gt;=Rubric!$B$22,N(L43)&lt;Rubric!$B$24),"RED – Stop investing",IF(AND(H43&gt;=Rubric!$B$21,N(J43)&lt;Rubric!$B$23),"YELLOW – Underperformer",IF(H43&lt;Rubric!$B$21,"Too early","OK")))))</f>
        <v/>
      </c>
      <c r="W43" s="183">
        <f>IF(V43="","",IF(LEFT(V43,5)="GREEN","Spin off cluster titles; consider hardcover or Ingram if it is a flagship",IF(LEFT(V43,3)="RED","Stop investing (no ads, no cluster spin-offs); keep the listing live; log why: demand, competition or execution",IF(LEFT(V43,6)="YELLOW","Refresh cover, rewrite keywords, test price; re-score the niche",IF(V43="Too early","Wait for the day-"&amp;Rubric!$B$21&amp;" audit","Keep monitoring")))))</f>
        <v/>
      </c>
      <c r="X43" s="150" t="n"/>
      <c r="Y43" s="150" t="n"/>
    </row>
    <row r="44" ht="30" customHeight="1" s="198">
      <c r="A44" s="150" t="n"/>
      <c r="B44" s="150" t="n"/>
      <c r="C44" s="150" t="n"/>
      <c r="D44" s="150" t="n"/>
      <c r="E44" s="150" t="n"/>
      <c r="F44" s="150" t="n"/>
      <c r="G44" s="151" t="n"/>
      <c r="H44" s="182">
        <f>IF(G44="","",MAX(0,TODAY()-G44))</f>
        <v/>
      </c>
      <c r="I44" s="183">
        <f>IF(G44="","",IF(H44&lt;Rubric!$B$20,"Day "&amp;Rubric!$B$20&amp;" audit: "&amp;TEXT(G44+Rubric!$B$20,"yyyy-mm-dd"),IF(H44&lt;Rubric!$B$21,"Day "&amp;Rubric!$B$21&amp;" audit: "&amp;TEXT(G44+Rubric!$B$21,"yyyy-mm-dd"),IF(H44&lt;Rubric!$B$22,"Day "&amp;Rubric!$B$22&amp;" audit: "&amp;TEXT(G44+Rubric!$B$22,"yyyy-mm-dd"),"All audits done"))))</f>
        <v/>
      </c>
      <c r="J44" s="150" t="n"/>
      <c r="K44" s="150" t="n"/>
      <c r="L44" s="180" t="n"/>
      <c r="M44" s="150" t="n"/>
      <c r="N44" s="150" t="n"/>
      <c r="O44" s="151" t="n"/>
      <c r="P44" s="150" t="n"/>
      <c r="Q44" s="162">
        <f>IF(N(J44)=0,"",N(K44)/J44)</f>
        <v/>
      </c>
      <c r="R44" s="183">
        <f>IF(J44="","",IF(N(J44)&lt;Rubric!$B$31,"Too few sales to judge",IF(Q44&gt;Rubric!$B$28,"QA REVIEW",IF(Q44&gt;IF(F44="Flagship",Rubric!$B$29,Rubric!$B$30),"Watch","OK"))))</f>
        <v/>
      </c>
      <c r="S44" s="183">
        <f>IF(G44="","",IF(O44&lt;&gt;"",O44-G44,IF(N(L44)&gt;=Rubric!$B$24,"Reached – enter date","Not yet")))</f>
        <v/>
      </c>
      <c r="T44" s="184">
        <f>IF(OR(G44="",L44=""),"",L44/IF(N(P44)=0,1,P44))</f>
        <v/>
      </c>
      <c r="U44" s="182">
        <f>IF(C44="","",IFERROR(INDEX(Scoring!$AN$6:$AN$60,MATCH(C44,Scoring!$B$6:$B$60,0)),""))</f>
        <v/>
      </c>
      <c r="V44" s="165">
        <f>IF(G44="","",IF(OR(N(N44)&gt;=Rubric!$B$26,N(M44)&gt;Rubric!$B$27),"GREEN – Scale",IF(AND(H44&gt;=Rubric!$B$22,N(L44)&lt;Rubric!$B$24),"RED – Stop investing",IF(AND(H44&gt;=Rubric!$B$21,N(J44)&lt;Rubric!$B$23),"YELLOW – Underperformer",IF(H44&lt;Rubric!$B$21,"Too early","OK")))))</f>
        <v/>
      </c>
      <c r="W44" s="183">
        <f>IF(V44="","",IF(LEFT(V44,5)="GREEN","Spin off cluster titles; consider hardcover or Ingram if it is a flagship",IF(LEFT(V44,3)="RED","Stop investing (no ads, no cluster spin-offs); keep the listing live; log why: demand, competition or execution",IF(LEFT(V44,6)="YELLOW","Refresh cover, rewrite keywords, test price; re-score the niche",IF(V44="Too early","Wait for the day-"&amp;Rubric!$B$21&amp;" audit","Keep monitoring")))))</f>
        <v/>
      </c>
      <c r="X44" s="150" t="n"/>
      <c r="Y44" s="150" t="n"/>
    </row>
    <row r="45" ht="30" customHeight="1" s="198">
      <c r="A45" s="150" t="n"/>
      <c r="B45" s="150" t="n"/>
      <c r="C45" s="150" t="n"/>
      <c r="D45" s="150" t="n"/>
      <c r="E45" s="150" t="n"/>
      <c r="F45" s="150" t="n"/>
      <c r="G45" s="151" t="n"/>
      <c r="H45" s="182">
        <f>IF(G45="","",MAX(0,TODAY()-G45))</f>
        <v/>
      </c>
      <c r="I45" s="183">
        <f>IF(G45="","",IF(H45&lt;Rubric!$B$20,"Day "&amp;Rubric!$B$20&amp;" audit: "&amp;TEXT(G45+Rubric!$B$20,"yyyy-mm-dd"),IF(H45&lt;Rubric!$B$21,"Day "&amp;Rubric!$B$21&amp;" audit: "&amp;TEXT(G45+Rubric!$B$21,"yyyy-mm-dd"),IF(H45&lt;Rubric!$B$22,"Day "&amp;Rubric!$B$22&amp;" audit: "&amp;TEXT(G45+Rubric!$B$22,"yyyy-mm-dd"),"All audits done"))))</f>
        <v/>
      </c>
      <c r="J45" s="150" t="n"/>
      <c r="K45" s="150" t="n"/>
      <c r="L45" s="180" t="n"/>
      <c r="M45" s="150" t="n"/>
      <c r="N45" s="150" t="n"/>
      <c r="O45" s="151" t="n"/>
      <c r="P45" s="150" t="n"/>
      <c r="Q45" s="162">
        <f>IF(N(J45)=0,"",N(K45)/J45)</f>
        <v/>
      </c>
      <c r="R45" s="183">
        <f>IF(J45="","",IF(N(J45)&lt;Rubric!$B$31,"Too few sales to judge",IF(Q45&gt;Rubric!$B$28,"QA REVIEW",IF(Q45&gt;IF(F45="Flagship",Rubric!$B$29,Rubric!$B$30),"Watch","OK"))))</f>
        <v/>
      </c>
      <c r="S45" s="183">
        <f>IF(G45="","",IF(O45&lt;&gt;"",O45-G45,IF(N(L45)&gt;=Rubric!$B$24,"Reached – enter date","Not yet")))</f>
        <v/>
      </c>
      <c r="T45" s="184">
        <f>IF(OR(G45="",L45=""),"",L45/IF(N(P45)=0,1,P45))</f>
        <v/>
      </c>
      <c r="U45" s="182">
        <f>IF(C45="","",IFERROR(INDEX(Scoring!$AN$6:$AN$60,MATCH(C45,Scoring!$B$6:$B$60,0)),""))</f>
        <v/>
      </c>
      <c r="V45" s="165">
        <f>IF(G45="","",IF(OR(N(N45)&gt;=Rubric!$B$26,N(M45)&gt;Rubric!$B$27),"GREEN – Scale",IF(AND(H45&gt;=Rubric!$B$22,N(L45)&lt;Rubric!$B$24),"RED – Stop investing",IF(AND(H45&gt;=Rubric!$B$21,N(J45)&lt;Rubric!$B$23),"YELLOW – Underperformer",IF(H45&lt;Rubric!$B$21,"Too early","OK")))))</f>
        <v/>
      </c>
      <c r="W45" s="183">
        <f>IF(V45="","",IF(LEFT(V45,5)="GREEN","Spin off cluster titles; consider hardcover or Ingram if it is a flagship",IF(LEFT(V45,3)="RED","Stop investing (no ads, no cluster spin-offs); keep the listing live; log why: demand, competition or execution",IF(LEFT(V45,6)="YELLOW","Refresh cover, rewrite keywords, test price; re-score the niche",IF(V45="Too early","Wait for the day-"&amp;Rubric!$B$21&amp;" audit","Keep monitoring")))))</f>
        <v/>
      </c>
      <c r="X45" s="150" t="n"/>
      <c r="Y45" s="150" t="n"/>
    </row>
    <row r="46" ht="30" customHeight="1" s="198">
      <c r="A46" s="150" t="n"/>
      <c r="B46" s="150" t="n"/>
      <c r="C46" s="150" t="n"/>
      <c r="D46" s="150" t="n"/>
      <c r="E46" s="150" t="n"/>
      <c r="F46" s="150" t="n"/>
      <c r="G46" s="151" t="n"/>
      <c r="H46" s="182">
        <f>IF(G46="","",MAX(0,TODAY()-G46))</f>
        <v/>
      </c>
      <c r="I46" s="183">
        <f>IF(G46="","",IF(H46&lt;Rubric!$B$20,"Day "&amp;Rubric!$B$20&amp;" audit: "&amp;TEXT(G46+Rubric!$B$20,"yyyy-mm-dd"),IF(H46&lt;Rubric!$B$21,"Day "&amp;Rubric!$B$21&amp;" audit: "&amp;TEXT(G46+Rubric!$B$21,"yyyy-mm-dd"),IF(H46&lt;Rubric!$B$22,"Day "&amp;Rubric!$B$22&amp;" audit: "&amp;TEXT(G46+Rubric!$B$22,"yyyy-mm-dd"),"All audits done"))))</f>
        <v/>
      </c>
      <c r="J46" s="150" t="n"/>
      <c r="K46" s="150" t="n"/>
      <c r="L46" s="180" t="n"/>
      <c r="M46" s="150" t="n"/>
      <c r="N46" s="150" t="n"/>
      <c r="O46" s="151" t="n"/>
      <c r="P46" s="150" t="n"/>
      <c r="Q46" s="162">
        <f>IF(N(J46)=0,"",N(K46)/J46)</f>
        <v/>
      </c>
      <c r="R46" s="183">
        <f>IF(J46="","",IF(N(J46)&lt;Rubric!$B$31,"Too few sales to judge",IF(Q46&gt;Rubric!$B$28,"QA REVIEW",IF(Q46&gt;IF(F46="Flagship",Rubric!$B$29,Rubric!$B$30),"Watch","OK"))))</f>
        <v/>
      </c>
      <c r="S46" s="183">
        <f>IF(G46="","",IF(O46&lt;&gt;"",O46-G46,IF(N(L46)&gt;=Rubric!$B$24,"Reached – enter date","Not yet")))</f>
        <v/>
      </c>
      <c r="T46" s="184">
        <f>IF(OR(G46="",L46=""),"",L46/IF(N(P46)=0,1,P46))</f>
        <v/>
      </c>
      <c r="U46" s="182">
        <f>IF(C46="","",IFERROR(INDEX(Scoring!$AN$6:$AN$60,MATCH(C46,Scoring!$B$6:$B$60,0)),""))</f>
        <v/>
      </c>
      <c r="V46" s="165">
        <f>IF(G46="","",IF(OR(N(N46)&gt;=Rubric!$B$26,N(M46)&gt;Rubric!$B$27),"GREEN – Scale",IF(AND(H46&gt;=Rubric!$B$22,N(L46)&lt;Rubric!$B$24),"RED – Stop investing",IF(AND(H46&gt;=Rubric!$B$21,N(J46)&lt;Rubric!$B$23),"YELLOW – Underperformer",IF(H46&lt;Rubric!$B$21,"Too early","OK")))))</f>
        <v/>
      </c>
      <c r="W46" s="183">
        <f>IF(V46="","",IF(LEFT(V46,5)="GREEN","Spin off cluster titles; consider hardcover or Ingram if it is a flagship",IF(LEFT(V46,3)="RED","Stop investing (no ads, no cluster spin-offs); keep the listing live; log why: demand, competition or execution",IF(LEFT(V46,6)="YELLOW","Refresh cover, rewrite keywords, test price; re-score the niche",IF(V46="Too early","Wait for the day-"&amp;Rubric!$B$21&amp;" audit","Keep monitoring")))))</f>
        <v/>
      </c>
      <c r="X46" s="150" t="n"/>
      <c r="Y46" s="150" t="n"/>
    </row>
    <row r="47" ht="30" customHeight="1" s="198">
      <c r="A47" s="150" t="n"/>
      <c r="B47" s="150" t="n"/>
      <c r="C47" s="150" t="n"/>
      <c r="D47" s="150" t="n"/>
      <c r="E47" s="150" t="n"/>
      <c r="F47" s="150" t="n"/>
      <c r="G47" s="151" t="n"/>
      <c r="H47" s="182">
        <f>IF(G47="","",MAX(0,TODAY()-G47))</f>
        <v/>
      </c>
      <c r="I47" s="183">
        <f>IF(G47="","",IF(H47&lt;Rubric!$B$20,"Day "&amp;Rubric!$B$20&amp;" audit: "&amp;TEXT(G47+Rubric!$B$20,"yyyy-mm-dd"),IF(H47&lt;Rubric!$B$21,"Day "&amp;Rubric!$B$21&amp;" audit: "&amp;TEXT(G47+Rubric!$B$21,"yyyy-mm-dd"),IF(H47&lt;Rubric!$B$22,"Day "&amp;Rubric!$B$22&amp;" audit: "&amp;TEXT(G47+Rubric!$B$22,"yyyy-mm-dd"),"All audits done"))))</f>
        <v/>
      </c>
      <c r="J47" s="150" t="n"/>
      <c r="K47" s="150" t="n"/>
      <c r="L47" s="180" t="n"/>
      <c r="M47" s="150" t="n"/>
      <c r="N47" s="150" t="n"/>
      <c r="O47" s="151" t="n"/>
      <c r="P47" s="150" t="n"/>
      <c r="Q47" s="162">
        <f>IF(N(J47)=0,"",N(K47)/J47)</f>
        <v/>
      </c>
      <c r="R47" s="183">
        <f>IF(J47="","",IF(N(J47)&lt;Rubric!$B$31,"Too few sales to judge",IF(Q47&gt;Rubric!$B$28,"QA REVIEW",IF(Q47&gt;IF(F47="Flagship",Rubric!$B$29,Rubric!$B$30),"Watch","OK"))))</f>
        <v/>
      </c>
      <c r="S47" s="183">
        <f>IF(G47="","",IF(O47&lt;&gt;"",O47-G47,IF(N(L47)&gt;=Rubric!$B$24,"Reached – enter date","Not yet")))</f>
        <v/>
      </c>
      <c r="T47" s="184">
        <f>IF(OR(G47="",L47=""),"",L47/IF(N(P47)=0,1,P47))</f>
        <v/>
      </c>
      <c r="U47" s="182">
        <f>IF(C47="","",IFERROR(INDEX(Scoring!$AN$6:$AN$60,MATCH(C47,Scoring!$B$6:$B$60,0)),""))</f>
        <v/>
      </c>
      <c r="V47" s="165">
        <f>IF(G47="","",IF(OR(N(N47)&gt;=Rubric!$B$26,N(M47)&gt;Rubric!$B$27),"GREEN – Scale",IF(AND(H47&gt;=Rubric!$B$22,N(L47)&lt;Rubric!$B$24),"RED – Stop investing",IF(AND(H47&gt;=Rubric!$B$21,N(J47)&lt;Rubric!$B$23),"YELLOW – Underperformer",IF(H47&lt;Rubric!$B$21,"Too early","OK")))))</f>
        <v/>
      </c>
      <c r="W47" s="183">
        <f>IF(V47="","",IF(LEFT(V47,5)="GREEN","Spin off cluster titles; consider hardcover or Ingram if it is a flagship",IF(LEFT(V47,3)="RED","Stop investing (no ads, no cluster spin-offs); keep the listing live; log why: demand, competition or execution",IF(LEFT(V47,6)="YELLOW","Refresh cover, rewrite keywords, test price; re-score the niche",IF(V47="Too early","Wait for the day-"&amp;Rubric!$B$21&amp;" audit","Keep monitoring")))))</f>
        <v/>
      </c>
      <c r="X47" s="150" t="n"/>
      <c r="Y47" s="150" t="n"/>
    </row>
    <row r="48" ht="30" customHeight="1" s="198">
      <c r="A48" s="150" t="n"/>
      <c r="B48" s="150" t="n"/>
      <c r="C48" s="150" t="n"/>
      <c r="D48" s="150" t="n"/>
      <c r="E48" s="150" t="n"/>
      <c r="F48" s="150" t="n"/>
      <c r="G48" s="151" t="n"/>
      <c r="H48" s="182">
        <f>IF(G48="","",MAX(0,TODAY()-G48))</f>
        <v/>
      </c>
      <c r="I48" s="183">
        <f>IF(G48="","",IF(H48&lt;Rubric!$B$20,"Day "&amp;Rubric!$B$20&amp;" audit: "&amp;TEXT(G48+Rubric!$B$20,"yyyy-mm-dd"),IF(H48&lt;Rubric!$B$21,"Day "&amp;Rubric!$B$21&amp;" audit: "&amp;TEXT(G48+Rubric!$B$21,"yyyy-mm-dd"),IF(H48&lt;Rubric!$B$22,"Day "&amp;Rubric!$B$22&amp;" audit: "&amp;TEXT(G48+Rubric!$B$22,"yyyy-mm-dd"),"All audits done"))))</f>
        <v/>
      </c>
      <c r="J48" s="150" t="n"/>
      <c r="K48" s="150" t="n"/>
      <c r="L48" s="180" t="n"/>
      <c r="M48" s="150" t="n"/>
      <c r="N48" s="150" t="n"/>
      <c r="O48" s="151" t="n"/>
      <c r="P48" s="150" t="n"/>
      <c r="Q48" s="162">
        <f>IF(N(J48)=0,"",N(K48)/J48)</f>
        <v/>
      </c>
      <c r="R48" s="183">
        <f>IF(J48="","",IF(N(J48)&lt;Rubric!$B$31,"Too few sales to judge",IF(Q48&gt;Rubric!$B$28,"QA REVIEW",IF(Q48&gt;IF(F48="Flagship",Rubric!$B$29,Rubric!$B$30),"Watch","OK"))))</f>
        <v/>
      </c>
      <c r="S48" s="183">
        <f>IF(G48="","",IF(O48&lt;&gt;"",O48-G48,IF(N(L48)&gt;=Rubric!$B$24,"Reached – enter date","Not yet")))</f>
        <v/>
      </c>
      <c r="T48" s="184">
        <f>IF(OR(G48="",L48=""),"",L48/IF(N(P48)=0,1,P48))</f>
        <v/>
      </c>
      <c r="U48" s="182">
        <f>IF(C48="","",IFERROR(INDEX(Scoring!$AN$6:$AN$60,MATCH(C48,Scoring!$B$6:$B$60,0)),""))</f>
        <v/>
      </c>
      <c r="V48" s="165">
        <f>IF(G48="","",IF(OR(N(N48)&gt;=Rubric!$B$26,N(M48)&gt;Rubric!$B$27),"GREEN – Scale",IF(AND(H48&gt;=Rubric!$B$22,N(L48)&lt;Rubric!$B$24),"RED – Stop investing",IF(AND(H48&gt;=Rubric!$B$21,N(J48)&lt;Rubric!$B$23),"YELLOW – Underperformer",IF(H48&lt;Rubric!$B$21,"Too early","OK")))))</f>
        <v/>
      </c>
      <c r="W48" s="183">
        <f>IF(V48="","",IF(LEFT(V48,5)="GREEN","Spin off cluster titles; consider hardcover or Ingram if it is a flagship",IF(LEFT(V48,3)="RED","Stop investing (no ads, no cluster spin-offs); keep the listing live; log why: demand, competition or execution",IF(LEFT(V48,6)="YELLOW","Refresh cover, rewrite keywords, test price; re-score the niche",IF(V48="Too early","Wait for the day-"&amp;Rubric!$B$21&amp;" audit","Keep monitoring")))))</f>
        <v/>
      </c>
      <c r="X48" s="150" t="n"/>
      <c r="Y48" s="150" t="n"/>
    </row>
    <row r="49" ht="30" customHeight="1" s="198">
      <c r="A49" s="150" t="n"/>
      <c r="B49" s="150" t="n"/>
      <c r="C49" s="150" t="n"/>
      <c r="D49" s="150" t="n"/>
      <c r="E49" s="150" t="n"/>
      <c r="F49" s="150" t="n"/>
      <c r="G49" s="151" t="n"/>
      <c r="H49" s="182">
        <f>IF(G49="","",MAX(0,TODAY()-G49))</f>
        <v/>
      </c>
      <c r="I49" s="183">
        <f>IF(G49="","",IF(H49&lt;Rubric!$B$20,"Day "&amp;Rubric!$B$20&amp;" audit: "&amp;TEXT(G49+Rubric!$B$20,"yyyy-mm-dd"),IF(H49&lt;Rubric!$B$21,"Day "&amp;Rubric!$B$21&amp;" audit: "&amp;TEXT(G49+Rubric!$B$21,"yyyy-mm-dd"),IF(H49&lt;Rubric!$B$22,"Day "&amp;Rubric!$B$22&amp;" audit: "&amp;TEXT(G49+Rubric!$B$22,"yyyy-mm-dd"),"All audits done"))))</f>
        <v/>
      </c>
      <c r="J49" s="150" t="n"/>
      <c r="K49" s="150" t="n"/>
      <c r="L49" s="180" t="n"/>
      <c r="M49" s="150" t="n"/>
      <c r="N49" s="150" t="n"/>
      <c r="O49" s="151" t="n"/>
      <c r="P49" s="150" t="n"/>
      <c r="Q49" s="162">
        <f>IF(N(J49)=0,"",N(K49)/J49)</f>
        <v/>
      </c>
      <c r="R49" s="183">
        <f>IF(J49="","",IF(N(J49)&lt;Rubric!$B$31,"Too few sales to judge",IF(Q49&gt;Rubric!$B$28,"QA REVIEW",IF(Q49&gt;IF(F49="Flagship",Rubric!$B$29,Rubric!$B$30),"Watch","OK"))))</f>
        <v/>
      </c>
      <c r="S49" s="183">
        <f>IF(G49="","",IF(O49&lt;&gt;"",O49-G49,IF(N(L49)&gt;=Rubric!$B$24,"Reached – enter date","Not yet")))</f>
        <v/>
      </c>
      <c r="T49" s="184">
        <f>IF(OR(G49="",L49=""),"",L49/IF(N(P49)=0,1,P49))</f>
        <v/>
      </c>
      <c r="U49" s="182">
        <f>IF(C49="","",IFERROR(INDEX(Scoring!$AN$6:$AN$60,MATCH(C49,Scoring!$B$6:$B$60,0)),""))</f>
        <v/>
      </c>
      <c r="V49" s="165">
        <f>IF(G49="","",IF(OR(N(N49)&gt;=Rubric!$B$26,N(M49)&gt;Rubric!$B$27),"GREEN – Scale",IF(AND(H49&gt;=Rubric!$B$22,N(L49)&lt;Rubric!$B$24),"RED – Stop investing",IF(AND(H49&gt;=Rubric!$B$21,N(J49)&lt;Rubric!$B$23),"YELLOW – Underperformer",IF(H49&lt;Rubric!$B$21,"Too early","OK")))))</f>
        <v/>
      </c>
      <c r="W49" s="183">
        <f>IF(V49="","",IF(LEFT(V49,5)="GREEN","Spin off cluster titles; consider hardcover or Ingram if it is a flagship",IF(LEFT(V49,3)="RED","Stop investing (no ads, no cluster spin-offs); keep the listing live; log why: demand, competition or execution",IF(LEFT(V49,6)="YELLOW","Refresh cover, rewrite keywords, test price; re-score the niche",IF(V49="Too early","Wait for the day-"&amp;Rubric!$B$21&amp;" audit","Keep monitoring")))))</f>
        <v/>
      </c>
      <c r="X49" s="150" t="n"/>
      <c r="Y49" s="150" t="n"/>
    </row>
    <row r="50" ht="30" customHeight="1" s="198">
      <c r="A50" s="150" t="n"/>
      <c r="B50" s="150" t="n"/>
      <c r="C50" s="150" t="n"/>
      <c r="D50" s="150" t="n"/>
      <c r="E50" s="150" t="n"/>
      <c r="F50" s="150" t="n"/>
      <c r="G50" s="151" t="n"/>
      <c r="H50" s="182">
        <f>IF(G50="","",MAX(0,TODAY()-G50))</f>
        <v/>
      </c>
      <c r="I50" s="183">
        <f>IF(G50="","",IF(H50&lt;Rubric!$B$20,"Day "&amp;Rubric!$B$20&amp;" audit: "&amp;TEXT(G50+Rubric!$B$20,"yyyy-mm-dd"),IF(H50&lt;Rubric!$B$21,"Day "&amp;Rubric!$B$21&amp;" audit: "&amp;TEXT(G50+Rubric!$B$21,"yyyy-mm-dd"),IF(H50&lt;Rubric!$B$22,"Day "&amp;Rubric!$B$22&amp;" audit: "&amp;TEXT(G50+Rubric!$B$22,"yyyy-mm-dd"),"All audits done"))))</f>
        <v/>
      </c>
      <c r="J50" s="150" t="n"/>
      <c r="K50" s="150" t="n"/>
      <c r="L50" s="180" t="n"/>
      <c r="M50" s="150" t="n"/>
      <c r="N50" s="150" t="n"/>
      <c r="O50" s="151" t="n"/>
      <c r="P50" s="150" t="n"/>
      <c r="Q50" s="162">
        <f>IF(N(J50)=0,"",N(K50)/J50)</f>
        <v/>
      </c>
      <c r="R50" s="183">
        <f>IF(J50="","",IF(N(J50)&lt;Rubric!$B$31,"Too few sales to judge",IF(Q50&gt;Rubric!$B$28,"QA REVIEW",IF(Q50&gt;IF(F50="Flagship",Rubric!$B$29,Rubric!$B$30),"Watch","OK"))))</f>
        <v/>
      </c>
      <c r="S50" s="183">
        <f>IF(G50="","",IF(O50&lt;&gt;"",O50-G50,IF(N(L50)&gt;=Rubric!$B$24,"Reached – enter date","Not yet")))</f>
        <v/>
      </c>
      <c r="T50" s="184">
        <f>IF(OR(G50="",L50=""),"",L50/IF(N(P50)=0,1,P50))</f>
        <v/>
      </c>
      <c r="U50" s="182">
        <f>IF(C50="","",IFERROR(INDEX(Scoring!$AN$6:$AN$60,MATCH(C50,Scoring!$B$6:$B$60,0)),""))</f>
        <v/>
      </c>
      <c r="V50" s="165">
        <f>IF(G50="","",IF(OR(N(N50)&gt;=Rubric!$B$26,N(M50)&gt;Rubric!$B$27),"GREEN – Scale",IF(AND(H50&gt;=Rubric!$B$22,N(L50)&lt;Rubric!$B$24),"RED – Stop investing",IF(AND(H50&gt;=Rubric!$B$21,N(J50)&lt;Rubric!$B$23),"YELLOW – Underperformer",IF(H50&lt;Rubric!$B$21,"Too early","OK")))))</f>
        <v/>
      </c>
      <c r="W50" s="183">
        <f>IF(V50="","",IF(LEFT(V50,5)="GREEN","Spin off cluster titles; consider hardcover or Ingram if it is a flagship",IF(LEFT(V50,3)="RED","Stop investing (no ads, no cluster spin-offs); keep the listing live; log why: demand, competition or execution",IF(LEFT(V50,6)="YELLOW","Refresh cover, rewrite keywords, test price; re-score the niche",IF(V50="Too early","Wait for the day-"&amp;Rubric!$B$21&amp;" audit","Keep monitoring")))))</f>
        <v/>
      </c>
      <c r="X50" s="150" t="n"/>
      <c r="Y50" s="150" t="n"/>
    </row>
    <row r="51" ht="30" customHeight="1" s="198">
      <c r="A51" s="150" t="n"/>
      <c r="B51" s="150" t="n"/>
      <c r="C51" s="150" t="n"/>
      <c r="D51" s="150" t="n"/>
      <c r="E51" s="150" t="n"/>
      <c r="F51" s="150" t="n"/>
      <c r="G51" s="151" t="n"/>
      <c r="H51" s="182">
        <f>IF(G51="","",MAX(0,TODAY()-G51))</f>
        <v/>
      </c>
      <c r="I51" s="183">
        <f>IF(G51="","",IF(H51&lt;Rubric!$B$20,"Day "&amp;Rubric!$B$20&amp;" audit: "&amp;TEXT(G51+Rubric!$B$20,"yyyy-mm-dd"),IF(H51&lt;Rubric!$B$21,"Day "&amp;Rubric!$B$21&amp;" audit: "&amp;TEXT(G51+Rubric!$B$21,"yyyy-mm-dd"),IF(H51&lt;Rubric!$B$22,"Day "&amp;Rubric!$B$22&amp;" audit: "&amp;TEXT(G51+Rubric!$B$22,"yyyy-mm-dd"),"All audits done"))))</f>
        <v/>
      </c>
      <c r="J51" s="150" t="n"/>
      <c r="K51" s="150" t="n"/>
      <c r="L51" s="180" t="n"/>
      <c r="M51" s="150" t="n"/>
      <c r="N51" s="150" t="n"/>
      <c r="O51" s="151" t="n"/>
      <c r="P51" s="150" t="n"/>
      <c r="Q51" s="162">
        <f>IF(N(J51)=0,"",N(K51)/J51)</f>
        <v/>
      </c>
      <c r="R51" s="183">
        <f>IF(J51="","",IF(N(J51)&lt;Rubric!$B$31,"Too few sales to judge",IF(Q51&gt;Rubric!$B$28,"QA REVIEW",IF(Q51&gt;IF(F51="Flagship",Rubric!$B$29,Rubric!$B$30),"Watch","OK"))))</f>
        <v/>
      </c>
      <c r="S51" s="183">
        <f>IF(G51="","",IF(O51&lt;&gt;"",O51-G51,IF(N(L51)&gt;=Rubric!$B$24,"Reached – enter date","Not yet")))</f>
        <v/>
      </c>
      <c r="T51" s="184">
        <f>IF(OR(G51="",L51=""),"",L51/IF(N(P51)=0,1,P51))</f>
        <v/>
      </c>
      <c r="U51" s="182">
        <f>IF(C51="","",IFERROR(INDEX(Scoring!$AN$6:$AN$60,MATCH(C51,Scoring!$B$6:$B$60,0)),""))</f>
        <v/>
      </c>
      <c r="V51" s="165">
        <f>IF(G51="","",IF(OR(N(N51)&gt;=Rubric!$B$26,N(M51)&gt;Rubric!$B$27),"GREEN – Scale",IF(AND(H51&gt;=Rubric!$B$22,N(L51)&lt;Rubric!$B$24),"RED – Stop investing",IF(AND(H51&gt;=Rubric!$B$21,N(J51)&lt;Rubric!$B$23),"YELLOW – Underperformer",IF(H51&lt;Rubric!$B$21,"Too early","OK")))))</f>
        <v/>
      </c>
      <c r="W51" s="183">
        <f>IF(V51="","",IF(LEFT(V51,5)="GREEN","Spin off cluster titles; consider hardcover or Ingram if it is a flagship",IF(LEFT(V51,3)="RED","Stop investing (no ads, no cluster spin-offs); keep the listing live; log why: demand, competition or execution",IF(LEFT(V51,6)="YELLOW","Refresh cover, rewrite keywords, test price; re-score the niche",IF(V51="Too early","Wait for the day-"&amp;Rubric!$B$21&amp;" audit","Keep monitoring")))))</f>
        <v/>
      </c>
      <c r="X51" s="150" t="n"/>
      <c r="Y51" s="150" t="n"/>
    </row>
    <row r="52" ht="30" customHeight="1" s="198">
      <c r="A52" s="150" t="n"/>
      <c r="B52" s="150" t="n"/>
      <c r="C52" s="150" t="n"/>
      <c r="D52" s="150" t="n"/>
      <c r="E52" s="150" t="n"/>
      <c r="F52" s="150" t="n"/>
      <c r="G52" s="151" t="n"/>
      <c r="H52" s="182">
        <f>IF(G52="","",MAX(0,TODAY()-G52))</f>
        <v/>
      </c>
      <c r="I52" s="183">
        <f>IF(G52="","",IF(H52&lt;Rubric!$B$20,"Day "&amp;Rubric!$B$20&amp;" audit: "&amp;TEXT(G52+Rubric!$B$20,"yyyy-mm-dd"),IF(H52&lt;Rubric!$B$21,"Day "&amp;Rubric!$B$21&amp;" audit: "&amp;TEXT(G52+Rubric!$B$21,"yyyy-mm-dd"),IF(H52&lt;Rubric!$B$22,"Day "&amp;Rubric!$B$22&amp;" audit: "&amp;TEXT(G52+Rubric!$B$22,"yyyy-mm-dd"),"All audits done"))))</f>
        <v/>
      </c>
      <c r="J52" s="150" t="n"/>
      <c r="K52" s="150" t="n"/>
      <c r="L52" s="180" t="n"/>
      <c r="M52" s="150" t="n"/>
      <c r="N52" s="150" t="n"/>
      <c r="O52" s="151" t="n"/>
      <c r="P52" s="150" t="n"/>
      <c r="Q52" s="162">
        <f>IF(N(J52)=0,"",N(K52)/J52)</f>
        <v/>
      </c>
      <c r="R52" s="183">
        <f>IF(J52="","",IF(N(J52)&lt;Rubric!$B$31,"Too few sales to judge",IF(Q52&gt;Rubric!$B$28,"QA REVIEW",IF(Q52&gt;IF(F52="Flagship",Rubric!$B$29,Rubric!$B$30),"Watch","OK"))))</f>
        <v/>
      </c>
      <c r="S52" s="183">
        <f>IF(G52="","",IF(O52&lt;&gt;"",O52-G52,IF(N(L52)&gt;=Rubric!$B$24,"Reached – enter date","Not yet")))</f>
        <v/>
      </c>
      <c r="T52" s="184">
        <f>IF(OR(G52="",L52=""),"",L52/IF(N(P52)=0,1,P52))</f>
        <v/>
      </c>
      <c r="U52" s="182">
        <f>IF(C52="","",IFERROR(INDEX(Scoring!$AN$6:$AN$60,MATCH(C52,Scoring!$B$6:$B$60,0)),""))</f>
        <v/>
      </c>
      <c r="V52" s="165">
        <f>IF(G52="","",IF(OR(N(N52)&gt;=Rubric!$B$26,N(M52)&gt;Rubric!$B$27),"GREEN – Scale",IF(AND(H52&gt;=Rubric!$B$22,N(L52)&lt;Rubric!$B$24),"RED – Stop investing",IF(AND(H52&gt;=Rubric!$B$21,N(J52)&lt;Rubric!$B$23),"YELLOW – Underperformer",IF(H52&lt;Rubric!$B$21,"Too early","OK")))))</f>
        <v/>
      </c>
      <c r="W52" s="183">
        <f>IF(V52="","",IF(LEFT(V52,5)="GREEN","Spin off cluster titles; consider hardcover or Ingram if it is a flagship",IF(LEFT(V52,3)="RED","Stop investing (no ads, no cluster spin-offs); keep the listing live; log why: demand, competition or execution",IF(LEFT(V52,6)="YELLOW","Refresh cover, rewrite keywords, test price; re-score the niche",IF(V52="Too early","Wait for the day-"&amp;Rubric!$B$21&amp;" audit","Keep monitoring")))))</f>
        <v/>
      </c>
      <c r="X52" s="150" t="n"/>
      <c r="Y52" s="150" t="n"/>
    </row>
    <row r="53" ht="30" customHeight="1" s="198">
      <c r="A53" s="150" t="n"/>
      <c r="B53" s="150" t="n"/>
      <c r="C53" s="150" t="n"/>
      <c r="D53" s="150" t="n"/>
      <c r="E53" s="150" t="n"/>
      <c r="F53" s="150" t="n"/>
      <c r="G53" s="151" t="n"/>
      <c r="H53" s="182">
        <f>IF(G53="","",MAX(0,TODAY()-G53))</f>
        <v/>
      </c>
      <c r="I53" s="183">
        <f>IF(G53="","",IF(H53&lt;Rubric!$B$20,"Day "&amp;Rubric!$B$20&amp;" audit: "&amp;TEXT(G53+Rubric!$B$20,"yyyy-mm-dd"),IF(H53&lt;Rubric!$B$21,"Day "&amp;Rubric!$B$21&amp;" audit: "&amp;TEXT(G53+Rubric!$B$21,"yyyy-mm-dd"),IF(H53&lt;Rubric!$B$22,"Day "&amp;Rubric!$B$22&amp;" audit: "&amp;TEXT(G53+Rubric!$B$22,"yyyy-mm-dd"),"All audits done"))))</f>
        <v/>
      </c>
      <c r="J53" s="150" t="n"/>
      <c r="K53" s="150" t="n"/>
      <c r="L53" s="180" t="n"/>
      <c r="M53" s="150" t="n"/>
      <c r="N53" s="150" t="n"/>
      <c r="O53" s="151" t="n"/>
      <c r="P53" s="150" t="n"/>
      <c r="Q53" s="162">
        <f>IF(N(J53)=0,"",N(K53)/J53)</f>
        <v/>
      </c>
      <c r="R53" s="183">
        <f>IF(J53="","",IF(N(J53)&lt;Rubric!$B$31,"Too few sales to judge",IF(Q53&gt;Rubric!$B$28,"QA REVIEW",IF(Q53&gt;IF(F53="Flagship",Rubric!$B$29,Rubric!$B$30),"Watch","OK"))))</f>
        <v/>
      </c>
      <c r="S53" s="183">
        <f>IF(G53="","",IF(O53&lt;&gt;"",O53-G53,IF(N(L53)&gt;=Rubric!$B$24,"Reached – enter date","Not yet")))</f>
        <v/>
      </c>
      <c r="T53" s="184">
        <f>IF(OR(G53="",L53=""),"",L53/IF(N(P53)=0,1,P53))</f>
        <v/>
      </c>
      <c r="U53" s="182">
        <f>IF(C53="","",IFERROR(INDEX(Scoring!$AN$6:$AN$60,MATCH(C53,Scoring!$B$6:$B$60,0)),""))</f>
        <v/>
      </c>
      <c r="V53" s="165">
        <f>IF(G53="","",IF(OR(N(N53)&gt;=Rubric!$B$26,N(M53)&gt;Rubric!$B$27),"GREEN – Scale",IF(AND(H53&gt;=Rubric!$B$22,N(L53)&lt;Rubric!$B$24),"RED – Stop investing",IF(AND(H53&gt;=Rubric!$B$21,N(J53)&lt;Rubric!$B$23),"YELLOW – Underperformer",IF(H53&lt;Rubric!$B$21,"Too early","OK")))))</f>
        <v/>
      </c>
      <c r="W53" s="183">
        <f>IF(V53="","",IF(LEFT(V53,5)="GREEN","Spin off cluster titles; consider hardcover or Ingram if it is a flagship",IF(LEFT(V53,3)="RED","Stop investing (no ads, no cluster spin-offs); keep the listing live; log why: demand, competition or execution",IF(LEFT(V53,6)="YELLOW","Refresh cover, rewrite keywords, test price; re-score the niche",IF(V53="Too early","Wait for the day-"&amp;Rubric!$B$21&amp;" audit","Keep monitoring")))))</f>
        <v/>
      </c>
      <c r="X53" s="150" t="n"/>
      <c r="Y53" s="150" t="n"/>
    </row>
    <row r="54" ht="30" customHeight="1" s="198">
      <c r="A54" s="150" t="n"/>
      <c r="B54" s="150" t="n"/>
      <c r="C54" s="150" t="n"/>
      <c r="D54" s="150" t="n"/>
      <c r="E54" s="150" t="n"/>
      <c r="F54" s="150" t="n"/>
      <c r="G54" s="151" t="n"/>
      <c r="H54" s="182">
        <f>IF(G54="","",MAX(0,TODAY()-G54))</f>
        <v/>
      </c>
      <c r="I54" s="183">
        <f>IF(G54="","",IF(H54&lt;Rubric!$B$20,"Day "&amp;Rubric!$B$20&amp;" audit: "&amp;TEXT(G54+Rubric!$B$20,"yyyy-mm-dd"),IF(H54&lt;Rubric!$B$21,"Day "&amp;Rubric!$B$21&amp;" audit: "&amp;TEXT(G54+Rubric!$B$21,"yyyy-mm-dd"),IF(H54&lt;Rubric!$B$22,"Day "&amp;Rubric!$B$22&amp;" audit: "&amp;TEXT(G54+Rubric!$B$22,"yyyy-mm-dd"),"All audits done"))))</f>
        <v/>
      </c>
      <c r="J54" s="150" t="n"/>
      <c r="K54" s="150" t="n"/>
      <c r="L54" s="180" t="n"/>
      <c r="M54" s="150" t="n"/>
      <c r="N54" s="150" t="n"/>
      <c r="O54" s="151" t="n"/>
      <c r="P54" s="150" t="n"/>
      <c r="Q54" s="162">
        <f>IF(N(J54)=0,"",N(K54)/J54)</f>
        <v/>
      </c>
      <c r="R54" s="183">
        <f>IF(J54="","",IF(N(J54)&lt;Rubric!$B$31,"Too few sales to judge",IF(Q54&gt;Rubric!$B$28,"QA REVIEW",IF(Q54&gt;IF(F54="Flagship",Rubric!$B$29,Rubric!$B$30),"Watch","OK"))))</f>
        <v/>
      </c>
      <c r="S54" s="183">
        <f>IF(G54="","",IF(O54&lt;&gt;"",O54-G54,IF(N(L54)&gt;=Rubric!$B$24,"Reached – enter date","Not yet")))</f>
        <v/>
      </c>
      <c r="T54" s="184">
        <f>IF(OR(G54="",L54=""),"",L54/IF(N(P54)=0,1,P54))</f>
        <v/>
      </c>
      <c r="U54" s="182">
        <f>IF(C54="","",IFERROR(INDEX(Scoring!$AN$6:$AN$60,MATCH(C54,Scoring!$B$6:$B$60,0)),""))</f>
        <v/>
      </c>
      <c r="V54" s="165">
        <f>IF(G54="","",IF(OR(N(N54)&gt;=Rubric!$B$26,N(M54)&gt;Rubric!$B$27),"GREEN – Scale",IF(AND(H54&gt;=Rubric!$B$22,N(L54)&lt;Rubric!$B$24),"RED – Stop investing",IF(AND(H54&gt;=Rubric!$B$21,N(J54)&lt;Rubric!$B$23),"YELLOW – Underperformer",IF(H54&lt;Rubric!$B$21,"Too early","OK")))))</f>
        <v/>
      </c>
      <c r="W54" s="183">
        <f>IF(V54="","",IF(LEFT(V54,5)="GREEN","Spin off cluster titles; consider hardcover or Ingram if it is a flagship",IF(LEFT(V54,3)="RED","Stop investing (no ads, no cluster spin-offs); keep the listing live; log why: demand, competition or execution",IF(LEFT(V54,6)="YELLOW","Refresh cover, rewrite keywords, test price; re-score the niche",IF(V54="Too early","Wait for the day-"&amp;Rubric!$B$21&amp;" audit","Keep monitoring")))))</f>
        <v/>
      </c>
      <c r="X54" s="150" t="n"/>
      <c r="Y54" s="150" t="n"/>
    </row>
    <row r="55" ht="30" customHeight="1" s="198">
      <c r="A55" s="150" t="n"/>
      <c r="B55" s="150" t="n"/>
      <c r="C55" s="150" t="n"/>
      <c r="D55" s="150" t="n"/>
      <c r="E55" s="150" t="n"/>
      <c r="F55" s="150" t="n"/>
      <c r="G55" s="151" t="n"/>
      <c r="H55" s="182">
        <f>IF(G55="","",MAX(0,TODAY()-G55))</f>
        <v/>
      </c>
      <c r="I55" s="183">
        <f>IF(G55="","",IF(H55&lt;Rubric!$B$20,"Day "&amp;Rubric!$B$20&amp;" audit: "&amp;TEXT(G55+Rubric!$B$20,"yyyy-mm-dd"),IF(H55&lt;Rubric!$B$21,"Day "&amp;Rubric!$B$21&amp;" audit: "&amp;TEXT(G55+Rubric!$B$21,"yyyy-mm-dd"),IF(H55&lt;Rubric!$B$22,"Day "&amp;Rubric!$B$22&amp;" audit: "&amp;TEXT(G55+Rubric!$B$22,"yyyy-mm-dd"),"All audits done"))))</f>
        <v/>
      </c>
      <c r="J55" s="150" t="n"/>
      <c r="K55" s="150" t="n"/>
      <c r="L55" s="180" t="n"/>
      <c r="M55" s="150" t="n"/>
      <c r="N55" s="150" t="n"/>
      <c r="O55" s="151" t="n"/>
      <c r="P55" s="150" t="n"/>
      <c r="Q55" s="162">
        <f>IF(N(J55)=0,"",N(K55)/J55)</f>
        <v/>
      </c>
      <c r="R55" s="183">
        <f>IF(J55="","",IF(N(J55)&lt;Rubric!$B$31,"Too few sales to judge",IF(Q55&gt;Rubric!$B$28,"QA REVIEW",IF(Q55&gt;IF(F55="Flagship",Rubric!$B$29,Rubric!$B$30),"Watch","OK"))))</f>
        <v/>
      </c>
      <c r="S55" s="183">
        <f>IF(G55="","",IF(O55&lt;&gt;"",O55-G55,IF(N(L55)&gt;=Rubric!$B$24,"Reached – enter date","Not yet")))</f>
        <v/>
      </c>
      <c r="T55" s="184">
        <f>IF(OR(G55="",L55=""),"",L55/IF(N(P55)=0,1,P55))</f>
        <v/>
      </c>
      <c r="U55" s="182">
        <f>IF(C55="","",IFERROR(INDEX(Scoring!$AN$6:$AN$60,MATCH(C55,Scoring!$B$6:$B$60,0)),""))</f>
        <v/>
      </c>
      <c r="V55" s="165">
        <f>IF(G55="","",IF(OR(N(N55)&gt;=Rubric!$B$26,N(M55)&gt;Rubric!$B$27),"GREEN – Scale",IF(AND(H55&gt;=Rubric!$B$22,N(L55)&lt;Rubric!$B$24),"RED – Stop investing",IF(AND(H55&gt;=Rubric!$B$21,N(J55)&lt;Rubric!$B$23),"YELLOW – Underperformer",IF(H55&lt;Rubric!$B$21,"Too early","OK")))))</f>
        <v/>
      </c>
      <c r="W55" s="183">
        <f>IF(V55="","",IF(LEFT(V55,5)="GREEN","Spin off cluster titles; consider hardcover or Ingram if it is a flagship",IF(LEFT(V55,3)="RED","Stop investing (no ads, no cluster spin-offs); keep the listing live; log why: demand, competition or execution",IF(LEFT(V55,6)="YELLOW","Refresh cover, rewrite keywords, test price; re-score the niche",IF(V55="Too early","Wait for the day-"&amp;Rubric!$B$21&amp;" audit","Keep monitoring")))))</f>
        <v/>
      </c>
      <c r="X55" s="150" t="n"/>
      <c r="Y55" s="150" t="n"/>
    </row>
    <row r="56" ht="30" customHeight="1" s="198">
      <c r="A56" s="150" t="n"/>
      <c r="B56" s="150" t="n"/>
      <c r="C56" s="150" t="n"/>
      <c r="D56" s="150" t="n"/>
      <c r="E56" s="150" t="n"/>
      <c r="F56" s="150" t="n"/>
      <c r="G56" s="151" t="n"/>
      <c r="H56" s="182">
        <f>IF(G56="","",MAX(0,TODAY()-G56))</f>
        <v/>
      </c>
      <c r="I56" s="183">
        <f>IF(G56="","",IF(H56&lt;Rubric!$B$20,"Day "&amp;Rubric!$B$20&amp;" audit: "&amp;TEXT(G56+Rubric!$B$20,"yyyy-mm-dd"),IF(H56&lt;Rubric!$B$21,"Day "&amp;Rubric!$B$21&amp;" audit: "&amp;TEXT(G56+Rubric!$B$21,"yyyy-mm-dd"),IF(H56&lt;Rubric!$B$22,"Day "&amp;Rubric!$B$22&amp;" audit: "&amp;TEXT(G56+Rubric!$B$22,"yyyy-mm-dd"),"All audits done"))))</f>
        <v/>
      </c>
      <c r="J56" s="150" t="n"/>
      <c r="K56" s="150" t="n"/>
      <c r="L56" s="180" t="n"/>
      <c r="M56" s="150" t="n"/>
      <c r="N56" s="150" t="n"/>
      <c r="O56" s="151" t="n"/>
      <c r="P56" s="150" t="n"/>
      <c r="Q56" s="162">
        <f>IF(N(J56)=0,"",N(K56)/J56)</f>
        <v/>
      </c>
      <c r="R56" s="183">
        <f>IF(J56="","",IF(N(J56)&lt;Rubric!$B$31,"Too few sales to judge",IF(Q56&gt;Rubric!$B$28,"QA REVIEW",IF(Q56&gt;IF(F56="Flagship",Rubric!$B$29,Rubric!$B$30),"Watch","OK"))))</f>
        <v/>
      </c>
      <c r="S56" s="183">
        <f>IF(G56="","",IF(O56&lt;&gt;"",O56-G56,IF(N(L56)&gt;=Rubric!$B$24,"Reached – enter date","Not yet")))</f>
        <v/>
      </c>
      <c r="T56" s="184">
        <f>IF(OR(G56="",L56=""),"",L56/IF(N(P56)=0,1,P56))</f>
        <v/>
      </c>
      <c r="U56" s="182">
        <f>IF(C56="","",IFERROR(INDEX(Scoring!$AN$6:$AN$60,MATCH(C56,Scoring!$B$6:$B$60,0)),""))</f>
        <v/>
      </c>
      <c r="V56" s="165">
        <f>IF(G56="","",IF(OR(N(N56)&gt;=Rubric!$B$26,N(M56)&gt;Rubric!$B$27),"GREEN – Scale",IF(AND(H56&gt;=Rubric!$B$22,N(L56)&lt;Rubric!$B$24),"RED – Stop investing",IF(AND(H56&gt;=Rubric!$B$21,N(J56)&lt;Rubric!$B$23),"YELLOW – Underperformer",IF(H56&lt;Rubric!$B$21,"Too early","OK")))))</f>
        <v/>
      </c>
      <c r="W56" s="183">
        <f>IF(V56="","",IF(LEFT(V56,5)="GREEN","Spin off cluster titles; consider hardcover or Ingram if it is a flagship",IF(LEFT(V56,3)="RED","Stop investing (no ads, no cluster spin-offs); keep the listing live; log why: demand, competition or execution",IF(LEFT(V56,6)="YELLOW","Refresh cover, rewrite keywords, test price; re-score the niche",IF(V56="Too early","Wait for the day-"&amp;Rubric!$B$21&amp;" audit","Keep monitoring")))))</f>
        <v/>
      </c>
      <c r="X56" s="150" t="n"/>
      <c r="Y56" s="150" t="n"/>
    </row>
    <row r="57" ht="30" customHeight="1" s="198">
      <c r="A57" s="150" t="n"/>
      <c r="B57" s="150" t="n"/>
      <c r="C57" s="150" t="n"/>
      <c r="D57" s="150" t="n"/>
      <c r="E57" s="150" t="n"/>
      <c r="F57" s="150" t="n"/>
      <c r="G57" s="151" t="n"/>
      <c r="H57" s="182">
        <f>IF(G57="","",MAX(0,TODAY()-G57))</f>
        <v/>
      </c>
      <c r="I57" s="183">
        <f>IF(G57="","",IF(H57&lt;Rubric!$B$20,"Day "&amp;Rubric!$B$20&amp;" audit: "&amp;TEXT(G57+Rubric!$B$20,"yyyy-mm-dd"),IF(H57&lt;Rubric!$B$21,"Day "&amp;Rubric!$B$21&amp;" audit: "&amp;TEXT(G57+Rubric!$B$21,"yyyy-mm-dd"),IF(H57&lt;Rubric!$B$22,"Day "&amp;Rubric!$B$22&amp;" audit: "&amp;TEXT(G57+Rubric!$B$22,"yyyy-mm-dd"),"All audits done"))))</f>
        <v/>
      </c>
      <c r="J57" s="150" t="n"/>
      <c r="K57" s="150" t="n"/>
      <c r="L57" s="180" t="n"/>
      <c r="M57" s="150" t="n"/>
      <c r="N57" s="150" t="n"/>
      <c r="O57" s="151" t="n"/>
      <c r="P57" s="150" t="n"/>
      <c r="Q57" s="162">
        <f>IF(N(J57)=0,"",N(K57)/J57)</f>
        <v/>
      </c>
      <c r="R57" s="183">
        <f>IF(J57="","",IF(N(J57)&lt;Rubric!$B$31,"Too few sales to judge",IF(Q57&gt;Rubric!$B$28,"QA REVIEW",IF(Q57&gt;IF(F57="Flagship",Rubric!$B$29,Rubric!$B$30),"Watch","OK"))))</f>
        <v/>
      </c>
      <c r="S57" s="183">
        <f>IF(G57="","",IF(O57&lt;&gt;"",O57-G57,IF(N(L57)&gt;=Rubric!$B$24,"Reached – enter date","Not yet")))</f>
        <v/>
      </c>
      <c r="T57" s="184">
        <f>IF(OR(G57="",L57=""),"",L57/IF(N(P57)=0,1,P57))</f>
        <v/>
      </c>
      <c r="U57" s="182">
        <f>IF(C57="","",IFERROR(INDEX(Scoring!$AN$6:$AN$60,MATCH(C57,Scoring!$B$6:$B$60,0)),""))</f>
        <v/>
      </c>
      <c r="V57" s="165">
        <f>IF(G57="","",IF(OR(N(N57)&gt;=Rubric!$B$26,N(M57)&gt;Rubric!$B$27),"GREEN – Scale",IF(AND(H57&gt;=Rubric!$B$22,N(L57)&lt;Rubric!$B$24),"RED – Stop investing",IF(AND(H57&gt;=Rubric!$B$21,N(J57)&lt;Rubric!$B$23),"YELLOW – Underperformer",IF(H57&lt;Rubric!$B$21,"Too early","OK")))))</f>
        <v/>
      </c>
      <c r="W57" s="183">
        <f>IF(V57="","",IF(LEFT(V57,5)="GREEN","Spin off cluster titles; consider hardcover or Ingram if it is a flagship",IF(LEFT(V57,3)="RED","Stop investing (no ads, no cluster spin-offs); keep the listing live; log why: demand, competition or execution",IF(LEFT(V57,6)="YELLOW","Refresh cover, rewrite keywords, test price; re-score the niche",IF(V57="Too early","Wait for the day-"&amp;Rubric!$B$21&amp;" audit","Keep monitoring")))))</f>
        <v/>
      </c>
      <c r="X57" s="150" t="n"/>
      <c r="Y57" s="150" t="n"/>
    </row>
    <row r="58" ht="30" customHeight="1" s="198">
      <c r="A58" s="150" t="n"/>
      <c r="B58" s="150" t="n"/>
      <c r="C58" s="150" t="n"/>
      <c r="D58" s="150" t="n"/>
      <c r="E58" s="150" t="n"/>
      <c r="F58" s="150" t="n"/>
      <c r="G58" s="151" t="n"/>
      <c r="H58" s="182">
        <f>IF(G58="","",MAX(0,TODAY()-G58))</f>
        <v/>
      </c>
      <c r="I58" s="183">
        <f>IF(G58="","",IF(H58&lt;Rubric!$B$20,"Day "&amp;Rubric!$B$20&amp;" audit: "&amp;TEXT(G58+Rubric!$B$20,"yyyy-mm-dd"),IF(H58&lt;Rubric!$B$21,"Day "&amp;Rubric!$B$21&amp;" audit: "&amp;TEXT(G58+Rubric!$B$21,"yyyy-mm-dd"),IF(H58&lt;Rubric!$B$22,"Day "&amp;Rubric!$B$22&amp;" audit: "&amp;TEXT(G58+Rubric!$B$22,"yyyy-mm-dd"),"All audits done"))))</f>
        <v/>
      </c>
      <c r="J58" s="150" t="n"/>
      <c r="K58" s="150" t="n"/>
      <c r="L58" s="180" t="n"/>
      <c r="M58" s="150" t="n"/>
      <c r="N58" s="150" t="n"/>
      <c r="O58" s="151" t="n"/>
      <c r="P58" s="150" t="n"/>
      <c r="Q58" s="162">
        <f>IF(N(J58)=0,"",N(K58)/J58)</f>
        <v/>
      </c>
      <c r="R58" s="183">
        <f>IF(J58="","",IF(N(J58)&lt;Rubric!$B$31,"Too few sales to judge",IF(Q58&gt;Rubric!$B$28,"QA REVIEW",IF(Q58&gt;IF(F58="Flagship",Rubric!$B$29,Rubric!$B$30),"Watch","OK"))))</f>
        <v/>
      </c>
      <c r="S58" s="183">
        <f>IF(G58="","",IF(O58&lt;&gt;"",O58-G58,IF(N(L58)&gt;=Rubric!$B$24,"Reached – enter date","Not yet")))</f>
        <v/>
      </c>
      <c r="T58" s="184">
        <f>IF(OR(G58="",L58=""),"",L58/IF(N(P58)=0,1,P58))</f>
        <v/>
      </c>
      <c r="U58" s="182">
        <f>IF(C58="","",IFERROR(INDEX(Scoring!$AN$6:$AN$60,MATCH(C58,Scoring!$B$6:$B$60,0)),""))</f>
        <v/>
      </c>
      <c r="V58" s="165">
        <f>IF(G58="","",IF(OR(N(N58)&gt;=Rubric!$B$26,N(M58)&gt;Rubric!$B$27),"GREEN – Scale",IF(AND(H58&gt;=Rubric!$B$22,N(L58)&lt;Rubric!$B$24),"RED – Stop investing",IF(AND(H58&gt;=Rubric!$B$21,N(J58)&lt;Rubric!$B$23),"YELLOW – Underperformer",IF(H58&lt;Rubric!$B$21,"Too early","OK")))))</f>
        <v/>
      </c>
      <c r="W58" s="183">
        <f>IF(V58="","",IF(LEFT(V58,5)="GREEN","Spin off cluster titles; consider hardcover or Ingram if it is a flagship",IF(LEFT(V58,3)="RED","Stop investing (no ads, no cluster spin-offs); keep the listing live; log why: demand, competition or execution",IF(LEFT(V58,6)="YELLOW","Refresh cover, rewrite keywords, test price; re-score the niche",IF(V58="Too early","Wait for the day-"&amp;Rubric!$B$21&amp;" audit","Keep monitoring")))))</f>
        <v/>
      </c>
      <c r="X58" s="150" t="n"/>
      <c r="Y58" s="150" t="n"/>
    </row>
  </sheetData>
  <mergeCells count="1">
    <mergeCell ref="A2:N2"/>
  </mergeCells>
  <conditionalFormatting sqref="V8:V58">
    <cfRule type="expression" rank="0" priority="2" equalAverage="0" aboveAverage="0" dxfId="0" percent="0" bottom="0">
      <formula>LEFT($V8,5)="GREEN"</formula>
    </cfRule>
    <cfRule type="expression" rank="0" priority="3" equalAverage="0" aboveAverage="0" dxfId="1" percent="0" bottom="0">
      <formula>LEFT($V8,6)="YELLOW"</formula>
    </cfRule>
    <cfRule type="expression" rank="0" priority="4" equalAverage="0" aboveAverage="0" dxfId="2" percent="0" bottom="0">
      <formula>LEFT($V8,3)="RED"</formula>
    </cfRule>
  </conditionalFormatting>
  <conditionalFormatting sqref="R8:R58">
    <cfRule type="expression" rank="0" priority="5" equalAverage="0" aboveAverage="0" dxfId="2" percent="0" bottom="0">
      <formula>$R8="QA REVIEW"</formula>
    </cfRule>
    <cfRule type="expression" rank="0" priority="6" equalAverage="0" aboveAverage="0" dxfId="5" percent="0" bottom="0">
      <formula>$R8="Watch"</formula>
    </cfRule>
  </conditionalFormatting>
  <dataValidations count="5">
    <dataValidation sqref="G8:G58 O8:O58" showDropDown="0" showInputMessage="0" showErrorMessage="1" allowBlank="0" error="Enter a date." type="date" errorStyle="stop" operator="greaterThan">
      <formula1>36526</formula1>
      <formula2>0</formula2>
    </dataValidation>
    <dataValidation sqref="C8:C58" showDropDown="0" showInputMessage="0" showErrorMessage="1" allowBlank="0" error="Choose one of the dropdown options." type="list" errorStyle="stop">
      <formula1>Scoring!$B$6:$B$60</formula1>
    </dataValidation>
    <dataValidation sqref="E8:E58" showDropDown="0" showInputMessage="0" showErrorMessage="1" allowBlank="0" error="Choose one of the dropdown options." type="list" errorStyle="stop" operator="between">
      <formula1>Rubric!$A$121:$A$123</formula1>
      <formula2>0</formula2>
    </dataValidation>
    <dataValidation sqref="F8:F58" showDropDown="0" showInputMessage="0" showErrorMessage="1" allowBlank="0" error="Choose one of the dropdown options." type="list" errorStyle="stop" operator="between">
      <formula1>Rubric!$A$126:$A$130</formula1>
      <formula2>0</formula2>
    </dataValidation>
    <dataValidation sqref="J8:N58 P8:P58" showDropDown="0" showInputMessage="0" showErrorMessage="1" allowBlank="0" error="Enter a number of zero or more." type="decimal" errorStyle="stop" operator="greaterThanOrEqual">
      <formula1>0</formula1>
      <formula2>0</formula2>
    </dataValidation>
  </dataValidations>
  <pageMargins left="0.7" right="0.7" top="0.75" bottom="0.75" header="0.3" footer="0.3"/>
  <legacyDrawing xmlns:r="http://schemas.openxmlformats.org/officeDocument/2006/relationships" r:id="anysvml"/>
</worksheet>
</file>

<file path=xl/worksheets/sheet5.xml><?xml version="1.0" encoding="utf-8"?>
<worksheet xmlns="http://schemas.openxmlformats.org/spreadsheetml/2006/main">
  <sheetPr>
    <tabColor rgb="FF7030A0"/>
    <outlinePr summaryBelow="1" summaryRight="1"/>
    <pageSetUpPr/>
  </sheetPr>
  <dimension ref="A1:N16"/>
  <sheetViews>
    <sheetView showGridLines="1" workbookViewId="0">
      <selection activeCell="A1" sqref="A1"/>
    </sheetView>
  </sheetViews>
  <sheetFormatPr baseColWidth="8" defaultColWidth="8.6796875" defaultRowHeight="15"/>
  <cols>
    <col width="24" customWidth="1" style="133" min="1" max="1"/>
    <col width="62" customWidth="1" style="133" min="2" max="2"/>
    <col width="38" customWidth="1" style="133" min="3" max="3"/>
    <col width="9" customWidth="1" style="133" min="4" max="4"/>
    <col width="13" customWidth="1" style="133" min="5" max="14"/>
  </cols>
  <sheetData>
    <row r="1" ht="17.35000038146973" customHeight="1" s="198">
      <c r="A1" s="139" t="inlineStr">
        <is>
          <t>Research routine — deep baseline method reference (original 85-minute checklist; not a hard time limit)</t>
        </is>
      </c>
    </row>
    <row r="2" ht="30" customHeight="1" s="198">
      <c r="A2" s="135" t="inlineStr">
        <is>
          <t>Use this seven-step method for the full candidate universe. The ten columns below preserve the original pilot checklist only; track all 75 concepts in Baseline_Tracker. Spend the time needed to record credible evidence rather than stopping at 85 minutes.</t>
        </is>
      </c>
    </row>
    <row r="4" ht="15" customHeight="1" s="198">
      <c r="A4" s="148" t="inlineStr">
        <is>
          <t>Step</t>
        </is>
      </c>
      <c r="B4" s="148" t="inlineStr">
        <is>
          <t>Task</t>
        </is>
      </c>
      <c r="C4" s="148" t="inlineStr">
        <is>
          <t>What to record, and where</t>
        </is>
      </c>
      <c r="D4" s="148" t="inlineStr">
        <is>
          <t>Minutes</t>
        </is>
      </c>
      <c r="E4" s="148">
        <f>IF(Scoring!$B$6="","Niche 1",Scoring!$B$6)</f>
        <v/>
      </c>
      <c r="F4" s="148">
        <f>IF(Scoring!$B$7="","Niche 2",Scoring!$B$7)</f>
        <v/>
      </c>
      <c r="G4" s="148">
        <f>IF(Scoring!$B$8="","Niche 3",Scoring!$B$8)</f>
        <v/>
      </c>
      <c r="H4" s="148">
        <f>IF(Scoring!$B$9="","Niche 4",Scoring!$B$9)</f>
        <v/>
      </c>
      <c r="I4" s="148">
        <f>IF(Scoring!$B$10="","Niche 5",Scoring!$B$10)</f>
        <v/>
      </c>
      <c r="J4" s="148">
        <f>IF(Scoring!$B$11="","Niche 6",Scoring!$B$11)</f>
        <v/>
      </c>
      <c r="K4" s="148">
        <f>IF(Scoring!$B$12="","Niche 7",Scoring!$B$12)</f>
        <v/>
      </c>
      <c r="L4" s="148">
        <f>IF(Scoring!$B$13="","Niche 8",Scoring!$B$13)</f>
        <v/>
      </c>
      <c r="M4" s="148">
        <f>IF(Scoring!$B$14="","Niche 9",Scoring!$B$14)</f>
        <v/>
      </c>
      <c r="N4" s="148">
        <f>IF(Scoring!$B$15="","Niche 10",Scoring!$B$15)</f>
        <v/>
      </c>
    </row>
    <row r="5" ht="61.5" customHeight="1" s="198">
      <c r="A5" s="137" t="inlineStr">
        <is>
          <t>1. Seed keywords</t>
        </is>
      </c>
      <c r="B5" s="138" t="inlineStr">
        <is>
          <t>Type the niche into Amazon search and autocomplete. Collect about 10 phrases and note which contain a buying word (log, workbook, tracker).</t>
        </is>
      </c>
      <c r="C5" s="138" t="inlineStr">
        <is>
          <t>Scoring: Search intent (H)</t>
        </is>
      </c>
      <c r="D5" s="166" t="n">
        <v>15</v>
      </c>
      <c r="E5" s="185" t="inlineStr">
        <is>
          <t>✓</t>
        </is>
      </c>
      <c r="F5" s="185" t="n"/>
      <c r="G5" s="185" t="n"/>
      <c r="H5" s="185" t="n"/>
      <c r="I5" s="185" t="n"/>
      <c r="J5" s="185" t="n"/>
      <c r="K5" s="185" t="n"/>
      <c r="L5" s="185" t="n"/>
      <c r="M5" s="185" t="n"/>
      <c r="N5" s="185" t="n"/>
    </row>
    <row r="6" ht="61.5" customHeight="1" s="198">
      <c r="A6" s="137" t="inlineStr">
        <is>
          <t>2. Rank, price and reviews</t>
        </is>
      </c>
      <c r="B6" s="138" t="inlineStr">
        <is>
          <t>Open the top 3 results and record BSR (Product details), price and publication date. Note the review counts of the top 10.</t>
        </is>
      </c>
      <c r="C6" s="138" t="inlineStr">
        <is>
          <t>Scoring: Avg BSR (F), Freshness (J), Avg reviews (M)</t>
        </is>
      </c>
      <c r="D6" s="166" t="n">
        <v>10</v>
      </c>
      <c r="E6" s="185" t="inlineStr">
        <is>
          <t>✓</t>
        </is>
      </c>
      <c r="F6" s="185" t="n"/>
      <c r="G6" s="185" t="n"/>
      <c r="H6" s="185" t="n"/>
      <c r="I6" s="185" t="n"/>
      <c r="J6" s="185" t="n"/>
      <c r="K6" s="185" t="n"/>
      <c r="L6" s="185" t="n"/>
      <c r="M6" s="185" t="n"/>
      <c r="N6" s="185" t="n"/>
    </row>
    <row r="7" ht="61.5" customHeight="1" s="198">
      <c r="A7" s="137" t="inlineStr">
        <is>
          <t>3. Review defect mining</t>
        </is>
      </c>
      <c r="B7" s="138" t="inlineStr">
        <is>
          <t>Filter the top 10 books' reviews to 1–3 stars. Tally recurring complaints (missing fields, no answer key, errors). Three or more distinct gaps is a strong signal.</t>
        </is>
      </c>
      <c r="C7" s="138" t="inlineStr">
        <is>
          <t>Scoring: Quality defect gap (O); evidence column (AY)</t>
        </is>
      </c>
      <c r="D7" s="166" t="n">
        <v>20</v>
      </c>
      <c r="E7" s="185" t="inlineStr">
        <is>
          <t>✓</t>
        </is>
      </c>
      <c r="F7" s="185" t="n"/>
      <c r="G7" s="185" t="n"/>
      <c r="H7" s="185" t="n"/>
      <c r="I7" s="185" t="n"/>
      <c r="J7" s="185" t="n"/>
      <c r="K7" s="185" t="n"/>
      <c r="L7" s="185" t="n"/>
      <c r="M7" s="185" t="n"/>
      <c r="N7" s="185" t="n"/>
    </row>
    <row r="8" ht="61.5" customHeight="1" s="198">
      <c r="A8" s="137" t="inlineStr">
        <is>
          <t>4. Saturation screen</t>
        </is>
      </c>
      <c r="B8" s="138" t="inlineStr">
        <is>
          <t>Count the first 48 results. Tally covers that look like generic copies of each other.</t>
        </is>
      </c>
      <c r="C8" s="138" t="inlineStr">
        <is>
          <t>Scoring: Generic look-alike covers (Q)</t>
        </is>
      </c>
      <c r="D8" s="166" t="n">
        <v>15</v>
      </c>
      <c r="E8" s="185" t="inlineStr">
        <is>
          <t>✓</t>
        </is>
      </c>
      <c r="F8" s="185" t="n"/>
      <c r="G8" s="185" t="n"/>
      <c r="H8" s="185" t="n"/>
      <c r="I8" s="185" t="n"/>
      <c r="J8" s="185" t="n"/>
      <c r="K8" s="185" t="n"/>
      <c r="L8" s="185" t="n"/>
      <c r="M8" s="185" t="n"/>
      <c r="N8" s="185" t="n"/>
    </row>
    <row r="9" ht="61.5" customHeight="1" s="198">
      <c r="A9" s="137" t="inlineStr">
        <is>
          <t>5. Royalty check</t>
        </is>
      </c>
      <c r="B9" s="138" t="inlineStr">
        <is>
          <t>Use KDP's print royalty calculator (page count, trim, list price). For an eBook, note price and expected file size.</t>
        </is>
      </c>
      <c r="C9" s="138" t="inlineStr">
        <is>
          <t>Scoring: Net royalty (U), eBook price (W) and size (X)</t>
        </is>
      </c>
      <c r="D9" s="166" t="n">
        <v>10</v>
      </c>
      <c r="E9" s="185" t="inlineStr">
        <is>
          <t>✓</t>
        </is>
      </c>
      <c r="F9" s="185" t="n"/>
      <c r="G9" s="185" t="n"/>
      <c r="H9" s="185" t="n"/>
      <c r="I9" s="185" t="n"/>
      <c r="J9" s="185" t="n"/>
      <c r="K9" s="185" t="n"/>
      <c r="L9" s="185" t="n"/>
      <c r="M9" s="185" t="n"/>
      <c r="N9" s="185" t="n"/>
    </row>
    <row r="10" ht="61.5" customHeight="1" s="198">
      <c r="A10" s="137" t="inlineStr">
        <is>
          <t>6. Engine, accuracy, cluster</t>
        </is>
      </c>
      <c r="B10" s="138" t="inlineStr">
        <is>
          <t>Which engine builds it: Python generator, Book Studio, or manual? How much needs fact-checking? Can you name 5+ cluster titles and 3 uses (paperback, eBook, printable) that are distinct?</t>
        </is>
      </c>
      <c r="C10" s="138" t="inlineStr">
        <is>
          <t>Scoring: Engine (AD), Editorial (AF), Cluster (AI), Cross-channel (AK)</t>
        </is>
      </c>
      <c r="D10" s="166" t="n">
        <v>10</v>
      </c>
      <c r="E10" s="185" t="inlineStr">
        <is>
          <t>✓</t>
        </is>
      </c>
      <c r="F10" s="185" t="n"/>
      <c r="G10" s="185" t="n"/>
      <c r="H10" s="185" t="n"/>
      <c r="I10" s="185" t="n"/>
      <c r="J10" s="185" t="n"/>
      <c r="K10" s="185" t="n"/>
      <c r="L10" s="185" t="n"/>
      <c r="M10" s="185" t="n"/>
      <c r="N10" s="185" t="n"/>
    </row>
    <row r="11" ht="61.5" customHeight="1" s="198">
      <c r="A11" s="137" t="inlineStr">
        <is>
          <t>7. Return risk, vetoes, score</t>
        </is>
      </c>
      <c r="B11" s="138" t="inlineStr">
        <is>
          <t>Choose return risk, answer the three veto questions, then read the Tier. Save links and ASINs in the evidence columns.</t>
        </is>
      </c>
      <c r="C11" s="138" t="inlineStr">
        <is>
          <t>Scoring: Return risk (AA), Vetoes (AO–AQ), Next action (AX)</t>
        </is>
      </c>
      <c r="D11" s="166" t="n">
        <v>5</v>
      </c>
      <c r="E11" s="185" t="inlineStr">
        <is>
          <t>✓</t>
        </is>
      </c>
      <c r="F11" s="185" t="n"/>
      <c r="G11" s="185" t="n"/>
      <c r="H11" s="185" t="n"/>
      <c r="I11" s="185" t="n"/>
      <c r="J11" s="185" t="n"/>
      <c r="K11" s="185" t="n"/>
      <c r="L11" s="185" t="n"/>
      <c r="M11" s="185" t="n"/>
      <c r="N11" s="185" t="n"/>
    </row>
    <row r="12" ht="15" customHeight="1" s="198">
      <c r="A12" s="168" t="inlineStr">
        <is>
          <t>Total minutes</t>
        </is>
      </c>
      <c r="B12" s="170" t="n"/>
      <c r="C12" s="170" t="n"/>
      <c r="D12" s="164">
        <f>SUM(D5:D11)</f>
        <v/>
      </c>
    </row>
    <row r="13" ht="15" customHeight="1" s="198">
      <c r="A13" s="168" t="inlineStr">
        <is>
          <t>Minutes done</t>
        </is>
      </c>
      <c r="B13" s="170" t="n"/>
      <c r="C13" s="170" t="n"/>
      <c r="D13" s="170" t="n"/>
      <c r="E13" s="164">
        <f>SUMPRODUCT((E5:E11="✓")*($D$5:$D$11))</f>
        <v/>
      </c>
      <c r="F13" s="164">
        <f>SUMPRODUCT((F5:F11="✓")*($D$5:$D$11))</f>
        <v/>
      </c>
      <c r="G13" s="164">
        <f>SUMPRODUCT((G5:G11="✓")*($D$5:$D$11))</f>
        <v/>
      </c>
      <c r="H13" s="164">
        <f>SUMPRODUCT((H5:H11="✓")*($D$5:$D$11))</f>
        <v/>
      </c>
      <c r="I13" s="164">
        <f>SUMPRODUCT((I5:I11="✓")*($D$5:$D$11))</f>
        <v/>
      </c>
      <c r="J13" s="164">
        <f>SUMPRODUCT((J5:J11="✓")*($D$5:$D$11))</f>
        <v/>
      </c>
      <c r="K13" s="164">
        <f>SUMPRODUCT((K5:K11="✓")*($D$5:$D$11))</f>
        <v/>
      </c>
      <c r="L13" s="164">
        <f>SUMPRODUCT((L5:L11="✓")*($D$5:$D$11))</f>
        <v/>
      </c>
      <c r="M13" s="164">
        <f>SUMPRODUCT((M5:M11="✓")*($D$5:$D$11))</f>
        <v/>
      </c>
      <c r="N13" s="164">
        <f>SUMPRODUCT((N5:N11="✓")*($D$5:$D$11))</f>
        <v/>
      </c>
    </row>
    <row r="14" ht="15" customHeight="1" s="198">
      <c r="A14" s="168" t="inlineStr">
        <is>
          <t>Progress</t>
        </is>
      </c>
      <c r="B14" s="170" t="n"/>
      <c r="C14" s="170" t="n"/>
      <c r="D14" s="170" t="n"/>
      <c r="E14" s="169">
        <f>COUNTIF(E5:E11,"✓")/COUNTA($A$5:$A$11)</f>
        <v/>
      </c>
      <c r="F14" s="169">
        <f>COUNTIF(F5:F11,"✓")/COUNTA($A$5:$A$11)</f>
        <v/>
      </c>
      <c r="G14" s="169">
        <f>COUNTIF(G5:G11,"✓")/COUNTA($A$5:$A$11)</f>
        <v/>
      </c>
      <c r="H14" s="169">
        <f>COUNTIF(H5:H11,"✓")/COUNTA($A$5:$A$11)</f>
        <v/>
      </c>
      <c r="I14" s="169">
        <f>COUNTIF(I5:I11,"✓")/COUNTA($A$5:$A$11)</f>
        <v/>
      </c>
      <c r="J14" s="169">
        <f>COUNTIF(J5:J11,"✓")/COUNTA($A$5:$A$11)</f>
        <v/>
      </c>
      <c r="K14" s="169">
        <f>COUNTIF(K5:K11,"✓")/COUNTA($A$5:$A$11)</f>
        <v/>
      </c>
      <c r="L14" s="169">
        <f>COUNTIF(L5:L11,"✓")/COUNTA($A$5:$A$11)</f>
        <v/>
      </c>
      <c r="M14" s="169">
        <f>COUNTIF(M5:M11,"✓")/COUNTA($A$5:$A$11)</f>
        <v/>
      </c>
      <c r="N14" s="169">
        <f>COUNTIF(N5:N11,"✓")/COUNTA($A$5:$A$11)</f>
        <v/>
      </c>
    </row>
    <row r="16" ht="79.84999847412109" customHeight="1" s="198">
      <c r="A16" s="135" t="inlineStr">
        <is>
          <t>Timeboxes are targets. If a niche passes a hard veto (generic journal, medical/legal/financial advice, entrenched top 10) you can stop early and archive it.</t>
        </is>
      </c>
    </row>
  </sheetData>
  <mergeCells count="1">
    <mergeCell ref="A2:L2"/>
  </mergeCells>
  <conditionalFormatting sqref="E14:N14">
    <cfRule type="expression" rank="0" priority="2" equalAverage="0" aboveAverage="0" dxfId="0" percent="0" bottom="0">
      <formula>E14=1</formula>
    </cfRule>
  </conditionalFormatting>
  <dataValidations count="1">
    <dataValidation sqref="E5:N11" showDropDown="0" showInputMessage="0" showErrorMessage="1" allowBlank="0" error="Pick ✓ or leave blank." type="list" errorStyle="stop" operator="between">
      <formula1>Rubric!$A$139:$A$139</formula1>
      <formula2>0</formula2>
    </dataValidation>
  </dataValidations>
  <pageMargins left="0.7" right="0.7" top="0.75" bottom="0.75" header="0.3" footer="0.3"/>
</worksheet>
</file>

<file path=xl/worksheets/sheet6.xml><?xml version="1.0" encoding="utf-8"?>
<worksheet xmlns="http://schemas.openxmlformats.org/spreadsheetml/2006/main">
  <sheetPr>
    <tabColor rgb="FFBF8F00"/>
    <outlinePr summaryBelow="1" summaryRight="1"/>
    <pageSetUpPr/>
  </sheetPr>
  <dimension ref="A1:D139"/>
  <sheetViews>
    <sheetView showGridLines="1" workbookViewId="0">
      <selection activeCell="A1" sqref="A1"/>
    </sheetView>
  </sheetViews>
  <sheetFormatPr baseColWidth="8" defaultColWidth="8.6796875" defaultRowHeight="15"/>
  <cols>
    <col width="62" customWidth="1" style="133" min="1" max="1"/>
    <col width="14" customWidth="1" style="133" min="2" max="2"/>
    <col width="16" customWidth="1" style="133" min="3" max="3"/>
    <col width="80" customWidth="1" style="133" min="4" max="4"/>
  </cols>
  <sheetData>
    <row r="1" ht="17.35000038146973" customHeight="1" s="198">
      <c r="A1" s="139" t="inlineStr">
        <is>
          <t>Rubric and settings – every number the other sheets use lives here</t>
        </is>
      </c>
    </row>
    <row r="2" ht="30" customHeight="1" s="198">
      <c r="A2" s="135" t="inlineStr">
        <is>
          <t>Blue text on yellow = a setting you can change. Changing a value here updates Scoring, Slot_Ledger and Scoreboard. Values marked PROVISIONAL are starting guesses to calibrate on your own sales data.</t>
        </is>
      </c>
    </row>
    <row r="4" ht="15" customHeight="1" s="198">
      <c r="A4" s="186" t="inlineStr">
        <is>
          <t>Setting</t>
        </is>
      </c>
      <c r="B4" s="186" t="inlineStr">
        <is>
          <t>Value</t>
        </is>
      </c>
      <c r="C4" s="186" t="inlineStr">
        <is>
          <t>Status</t>
        </is>
      </c>
      <c r="D4" s="186" t="inlineStr">
        <is>
          <t>Note / source</t>
        </is>
      </c>
    </row>
    <row r="5" ht="15" customHeight="1" s="198">
      <c r="A5" s="138" t="inlineStr">
        <is>
          <t>Tier 1 cutoff (score at or above)</t>
        </is>
      </c>
      <c r="B5" s="187" t="n">
        <v>75</v>
      </c>
      <c r="C5" s="137" t="inlineStr">
        <is>
          <t>General</t>
        </is>
      </c>
      <c r="D5" s="138" t="inlineStr">
        <is>
          <t>From the scoring model in the outside blueprint; adopted as a starting gate.</t>
        </is>
      </c>
    </row>
    <row r="6" ht="15" customHeight="1" s="198">
      <c r="A6" s="138" t="inlineStr">
        <is>
          <t>Tier 2 cutoff (score at or above)</t>
        </is>
      </c>
      <c r="B6" s="187" t="n">
        <v>60</v>
      </c>
      <c r="C6" s="137" t="inlineStr">
        <is>
          <t>General</t>
        </is>
      </c>
      <c r="D6" s="138" t="inlineStr">
        <is>
          <t>Below this = Tier 3. Between the cutoffs = Watchlist (re-angle and rescore).</t>
        </is>
      </c>
    </row>
    <row r="7" ht="15" customHeight="1" s="198">
      <c r="A7" s="138" t="inlineStr">
        <is>
          <t>Search results sampled in the saturation screen</t>
        </is>
      </c>
      <c r="B7" s="187" t="n">
        <v>48</v>
      </c>
      <c r="C7" s="137" t="inlineStr">
        <is>
          <t>General</t>
        </is>
      </c>
      <c r="D7" s="138" t="inlineStr">
        <is>
          <t>First two Amazon result pages, about 48 items.</t>
        </is>
      </c>
    </row>
    <row r="8" ht="15" customHeight="1" s="198">
      <c r="A8" s="138" t="inlineStr">
        <is>
          <t>eBook 70% royalty band – lower price ($)</t>
        </is>
      </c>
      <c r="B8" s="188" t="n">
        <v>2.99</v>
      </c>
      <c r="C8" s="189" t="inlineStr">
        <is>
          <t>CONFIRMED</t>
        </is>
      </c>
      <c r="D8" s="138" t="inlineStr">
        <is>
          <t>KDP help page, effective July 7, 2026.</t>
        </is>
      </c>
    </row>
    <row r="9" ht="15" customHeight="1" s="198">
      <c r="A9" s="138" t="inlineStr">
        <is>
          <t>eBook 70% royalty band – upper price ($)</t>
        </is>
      </c>
      <c r="B9" s="188" t="n">
        <v>12.99</v>
      </c>
      <c r="C9" s="189" t="inlineStr">
        <is>
          <t>CONFIRMED</t>
        </is>
      </c>
      <c r="D9" s="138" t="inlineStr">
        <is>
          <t>KDP help page, effective July 7, 2026. Outside the band the rate is 35%.</t>
        </is>
      </c>
    </row>
    <row r="10" ht="15" customHeight="1" s="198">
      <c r="A10" s="138" t="inlineStr">
        <is>
          <t>eBook royalty rate inside the band</t>
        </is>
      </c>
      <c r="B10" s="190" t="n">
        <v>0.7</v>
      </c>
      <c r="C10" s="189" t="inlineStr">
        <is>
          <t>CONFIRMED</t>
        </is>
      </c>
      <c r="D10" s="138" t="n"/>
    </row>
    <row r="11" ht="15" customHeight="1" s="198">
      <c r="A11" s="138" t="inlineStr">
        <is>
          <t>eBook royalty rate outside the band</t>
        </is>
      </c>
      <c r="B11" s="190" t="n">
        <v>0.35</v>
      </c>
      <c r="C11" s="189" t="inlineStr">
        <is>
          <t>CONFIRMED</t>
        </is>
      </c>
      <c r="D11" s="138" t="n"/>
    </row>
    <row r="12" ht="15" customHeight="1" s="198">
      <c r="A12" s="138" t="inlineStr">
        <is>
          <t>Delivery fee per MB at 70% ($)</t>
        </is>
      </c>
      <c r="B12" s="188" t="n">
        <v>0.15</v>
      </c>
      <c r="C12" s="191" t="inlineStr">
        <is>
          <t>REPORTED</t>
        </is>
      </c>
      <c r="D12" s="138" t="inlineStr">
        <is>
          <t>Confirmed by several sources; check KDP's royalty calculator for your own files.</t>
        </is>
      </c>
    </row>
    <row r="13" ht="35.04999923706055" customHeight="1" s="198">
      <c r="A13" s="138" t="inlineStr">
        <is>
          <t>Delivery fee method (1 or 2)</t>
        </is>
      </c>
      <c r="B13" s="187" t="n">
        <v>2</v>
      </c>
      <c r="C13" s="192" t="inlineStr">
        <is>
          <t>VERIFY</t>
        </is>
      </c>
      <c r="D13" s="138" t="inlineStr">
        <is>
          <t>1 = fee comes off the price before the 70% (net = (price − MB × fee) × 70%). 2 = fee comes off after (net = price × 70% − MB × fee). Method 2 is the more cautious. Test with KDP's royalty calculator, then set this.</t>
        </is>
      </c>
    </row>
    <row r="14" ht="15" customHeight="1" s="198">
      <c r="A14" s="138" t="inlineStr">
        <is>
          <t>eBook fee score: full points if net royalty above ($)</t>
        </is>
      </c>
      <c r="B14" s="188" t="n">
        <v>2.5</v>
      </c>
      <c r="C14" s="191" t="inlineStr">
        <is>
          <t>PROVISIONAL</t>
        </is>
      </c>
      <c r="D14" s="138" t="inlineStr">
        <is>
          <t>Used with the file-size limit below.</t>
        </is>
      </c>
    </row>
    <row r="15" ht="15" customHeight="1" s="198">
      <c r="A15" s="138" t="inlineStr">
        <is>
          <t>eBook fee score: full points if file smaller than (MB)</t>
        </is>
      </c>
      <c r="B15" s="193" t="n">
        <v>3</v>
      </c>
      <c r="C15" s="191" t="inlineStr">
        <is>
          <t>PROVISIONAL</t>
        </is>
      </c>
      <c r="D15" s="138" t="n"/>
    </row>
    <row r="16" ht="15" customHeight="1" s="198">
      <c r="A16" s="138" t="inlineStr">
        <is>
          <t>eBook fee score: partial points if net royalty above ($)</t>
        </is>
      </c>
      <c r="B16" s="188" t="n">
        <v>1.5</v>
      </c>
      <c r="C16" s="191" t="inlineStr">
        <is>
          <t>PROVISIONAL</t>
        </is>
      </c>
      <c r="D16" s="138" t="n"/>
    </row>
    <row r="17" ht="15" customHeight="1" s="198">
      <c r="A17" s="138" t="inlineStr">
        <is>
          <t>eBook fee score: zero points if file larger than (MB)</t>
        </is>
      </c>
      <c r="B17" s="193" t="n">
        <v>10</v>
      </c>
      <c r="C17" s="191" t="inlineStr">
        <is>
          <t>PROVISIONAL</t>
        </is>
      </c>
      <c r="D17" s="138" t="n"/>
    </row>
    <row r="18" ht="15" customHeight="1" s="198">
      <c r="A18" s="138" t="inlineStr">
        <is>
          <t>eBook veto: net royalty below ($)</t>
        </is>
      </c>
      <c r="B18" s="188" t="n">
        <v>1</v>
      </c>
      <c r="C18" s="191" t="inlineStr">
        <is>
          <t>PROVISIONAL</t>
        </is>
      </c>
      <c r="D18" s="138" t="inlineStr">
        <is>
          <t>A planned eBook that nets under this is vetoed.</t>
        </is>
      </c>
    </row>
    <row r="19" ht="15" customHeight="1" s="198">
      <c r="A19" s="138" t="inlineStr">
        <is>
          <t>eBook veto: file larger than (MB)</t>
        </is>
      </c>
      <c r="B19" s="187" t="n">
        <v>50</v>
      </c>
      <c r="C19" s="191" t="inlineStr">
        <is>
          <t>PROVISIONAL</t>
        </is>
      </c>
      <c r="D19" s="138" t="n"/>
    </row>
    <row r="20" ht="15" customHeight="1" s="198">
      <c r="A20" s="138" t="inlineStr">
        <is>
          <t>First audit (days after publish)</t>
        </is>
      </c>
      <c r="B20" s="187" t="n">
        <v>30</v>
      </c>
      <c r="C20" s="191" t="inlineStr">
        <is>
          <t>PROVISIONAL</t>
        </is>
      </c>
      <c r="D20" s="138" t="inlineStr">
        <is>
          <t>Early velocity check.</t>
        </is>
      </c>
    </row>
    <row r="21" ht="15" customHeight="1" s="198">
      <c r="A21" s="138" t="inlineStr">
        <is>
          <t>Underperformer flag day</t>
        </is>
      </c>
      <c r="B21" s="187" t="n">
        <v>90</v>
      </c>
      <c r="C21" s="191" t="inlineStr">
        <is>
          <t>PROVISIONAL</t>
        </is>
      </c>
      <c r="D21" s="138" t="inlineStr">
        <is>
          <t>Plan v1.1: fewer than the minimum units at this day = yellow flag.</t>
        </is>
      </c>
    </row>
    <row r="22" ht="15" customHeight="1" s="198">
      <c r="A22" s="138" t="inlineStr">
        <is>
          <t>Stop confirmation day</t>
        </is>
      </c>
      <c r="B22" s="187" t="n">
        <v>180</v>
      </c>
      <c r="C22" s="191" t="inlineStr">
        <is>
          <t>PROVISIONAL</t>
        </is>
      </c>
      <c r="D22" s="138" t="inlineStr">
        <is>
          <t>Plan v1.1: confirm Stop at this day if payback is not reached.</t>
        </is>
      </c>
    </row>
    <row r="23" ht="15" customHeight="1" s="198">
      <c r="A23" s="138" t="inlineStr">
        <is>
          <t>Minimum units by the flag day</t>
        </is>
      </c>
      <c r="B23" s="187" t="n">
        <v>3</v>
      </c>
      <c r="C23" s="191" t="inlineStr">
        <is>
          <t>PROVISIONAL</t>
        </is>
      </c>
      <c r="D23" s="138" t="inlineStr">
        <is>
          <t>Plan v1.1 provisional trigger.</t>
        </is>
      </c>
    </row>
    <row r="24" ht="15" customHeight="1" s="198">
      <c r="A24" s="138" t="inlineStr">
        <is>
          <t>Payback target – cumulative net royalty ($)</t>
        </is>
      </c>
      <c r="B24" s="188" t="n">
        <v>15</v>
      </c>
      <c r="C24" s="191" t="inlineStr">
        <is>
          <t>PROVISIONAL</t>
        </is>
      </c>
      <c r="D24" s="138" t="inlineStr">
        <is>
          <t>Used for payback days and the Stop test. Calibrate on first data.</t>
        </is>
      </c>
    </row>
    <row r="25" ht="15" customHeight="1" s="198">
      <c r="A25" s="138" t="inlineStr">
        <is>
          <t>Winner: BSR below</t>
        </is>
      </c>
      <c r="B25" s="194" t="n">
        <v>50000</v>
      </c>
      <c r="C25" s="191" t="inlineStr">
        <is>
          <t>PROVISIONAL</t>
        </is>
      </c>
      <c r="D25" s="138" t="inlineStr">
        <is>
          <t>You enter the consecutive days spent below this rank.</t>
        </is>
      </c>
    </row>
    <row r="26" ht="15" customHeight="1" s="198">
      <c r="A26" s="138" t="inlineStr">
        <is>
          <t>Winner: consecutive days below that BSR</t>
        </is>
      </c>
      <c r="B26" s="187" t="n">
        <v>14</v>
      </c>
      <c r="C26" s="191" t="inlineStr">
        <is>
          <t>PROVISIONAL</t>
        </is>
      </c>
      <c r="D26" s="138" t="n"/>
    </row>
    <row r="27" ht="15" customHeight="1" s="198">
      <c r="A27" s="138" t="inlineStr">
        <is>
          <t>Winner: units in the last 30 days above</t>
        </is>
      </c>
      <c r="B27" s="187" t="n">
        <v>15</v>
      </c>
      <c r="C27" s="191" t="inlineStr">
        <is>
          <t>PROVISIONAL</t>
        </is>
      </c>
      <c r="D27" s="138" t="inlineStr">
        <is>
          <t>Either this or the BSR test triggers green.</t>
        </is>
      </c>
    </row>
    <row r="28" ht="15" customHeight="1" s="198">
      <c r="A28" s="138" t="inlineStr">
        <is>
          <t>Return rate that triggers a QA review</t>
        </is>
      </c>
      <c r="B28" s="195" t="n">
        <v>0.03</v>
      </c>
      <c r="C28" s="191" t="inlineStr">
        <is>
          <t>PROVISIONAL</t>
        </is>
      </c>
      <c r="D28" s="138" t="n"/>
    </row>
    <row r="29" ht="15" customHeight="1" s="198">
      <c r="A29" s="138" t="inlineStr">
        <is>
          <t>Return rate to watch – flagships</t>
        </is>
      </c>
      <c r="B29" s="195" t="n">
        <v>0.01</v>
      </c>
      <c r="C29" s="191" t="inlineStr">
        <is>
          <t>PROVISIONAL</t>
        </is>
      </c>
      <c r="D29" s="138" t="n"/>
    </row>
    <row r="30" ht="15" customHeight="1" s="198">
      <c r="A30" s="138" t="inlineStr">
        <is>
          <t>Return rate to watch – other titles</t>
        </is>
      </c>
      <c r="B30" s="195" t="n">
        <v>0.02</v>
      </c>
      <c r="C30" s="191" t="inlineStr">
        <is>
          <t>PROVISIONAL</t>
        </is>
      </c>
      <c r="D30" s="138" t="n"/>
    </row>
    <row r="31" ht="15" customHeight="1" s="198">
      <c r="A31" s="138" t="inlineStr">
        <is>
          <t>Minimum units sold before judging return rate</t>
        </is>
      </c>
      <c r="B31" s="187" t="n">
        <v>10</v>
      </c>
      <c r="C31" s="191" t="inlineStr">
        <is>
          <t>PROVISIONAL</t>
        </is>
      </c>
      <c r="D31" s="138" t="inlineStr">
        <is>
          <t>Avoids noise from tiny samples.</t>
        </is>
      </c>
    </row>
    <row r="32" ht="15" customHeight="1" s="198">
      <c r="A32" s="138" t="inlineStr">
        <is>
          <t>New titles allowed per format per week</t>
        </is>
      </c>
      <c r="B32" s="187" t="n">
        <v>2</v>
      </c>
      <c r="C32" s="189" t="inlineStr">
        <is>
          <t>CONFIRMED</t>
        </is>
      </c>
      <c r="D32" s="138" t="inlineStr">
        <is>
          <t>KDP limit since Sept 21, 2026; resets Sunday 12:00 AM UTC (3:00 AM Cairo time).</t>
        </is>
      </c>
    </row>
    <row r="33" ht="15" customHeight="1" s="198">
      <c r="A33" s="138" t="inlineStr">
        <is>
          <t>Yearly ceiling per format (weekly limit × 52)</t>
        </is>
      </c>
      <c r="B33" s="187" t="n">
        <v>104</v>
      </c>
      <c r="C33" s="189" t="inlineStr">
        <is>
          <t>CONFIRMED</t>
        </is>
      </c>
      <c r="D33" s="138" t="inlineStr">
        <is>
          <t>Planning ceiling, not a target.</t>
        </is>
      </c>
    </row>
    <row r="35" ht="26.85000038146973" customHeight="1" s="198">
      <c r="A35" s="196" t="inlineStr">
        <is>
          <t>Points: average BSR of the top 3 results (lower rank = more demand)</t>
        </is>
      </c>
    </row>
    <row r="36" ht="15" customHeight="1" s="198">
      <c r="A36" s="186" t="inlineStr">
        <is>
          <t>BSR from (at or above)</t>
        </is>
      </c>
      <c r="B36" s="186" t="inlineStr">
        <is>
          <t>Points</t>
        </is>
      </c>
    </row>
    <row r="37" ht="15" customHeight="1" s="198">
      <c r="A37" s="150" t="n">
        <v>0</v>
      </c>
      <c r="B37" s="150" t="n">
        <v>10</v>
      </c>
    </row>
    <row r="38" ht="15" customHeight="1" s="198">
      <c r="A38" s="150" t="n">
        <v>30000</v>
      </c>
      <c r="B38" s="150" t="n">
        <v>7</v>
      </c>
    </row>
    <row r="39" ht="15" customHeight="1" s="198">
      <c r="A39" s="150" t="n">
        <v>100000</v>
      </c>
      <c r="B39" s="150" t="n">
        <v>3</v>
      </c>
    </row>
    <row r="40" ht="15" customHeight="1" s="198">
      <c r="A40" s="150" t="n">
        <v>300000</v>
      </c>
      <c r="B40" s="150" t="n">
        <v>0</v>
      </c>
    </row>
    <row r="42" ht="15" customHeight="1" s="198">
      <c r="A42" s="196" t="inlineStr">
        <is>
          <t>Points: average review count of the top 10 results</t>
        </is>
      </c>
    </row>
    <row r="43" ht="15" customHeight="1" s="198">
      <c r="A43" s="186" t="inlineStr">
        <is>
          <t>Reviews from (above)</t>
        </is>
      </c>
      <c r="B43" s="186" t="inlineStr">
        <is>
          <t>Points</t>
        </is>
      </c>
    </row>
    <row r="44" ht="15" customHeight="1" s="198">
      <c r="A44" s="150" t="n">
        <v>0</v>
      </c>
      <c r="B44" s="150" t="n">
        <v>10</v>
      </c>
    </row>
    <row r="45" ht="15" customHeight="1" s="198">
      <c r="A45" s="150" t="n">
        <v>50</v>
      </c>
      <c r="B45" s="150" t="n">
        <v>6</v>
      </c>
    </row>
    <row r="46" ht="15" customHeight="1" s="198">
      <c r="A46" s="150" t="n">
        <v>200</v>
      </c>
      <c r="B46" s="150" t="n">
        <v>3</v>
      </c>
    </row>
    <row r="47" ht="15" customHeight="1" s="198">
      <c r="A47" s="150" t="n">
        <v>500.01</v>
      </c>
      <c r="B47" s="150" t="n">
        <v>1</v>
      </c>
    </row>
    <row r="49" ht="26.85000038146973" customHeight="1" s="198">
      <c r="A49" s="196" t="inlineStr">
        <is>
          <t>Points: share of generic look-alike covers in the first 48 results</t>
        </is>
      </c>
    </row>
    <row r="50" ht="15" customHeight="1" s="198">
      <c r="A50" s="186" t="inlineStr">
        <is>
          <t>Share from (at or above)</t>
        </is>
      </c>
      <c r="B50" s="186" t="inlineStr">
        <is>
          <t>Points</t>
        </is>
      </c>
    </row>
    <row r="51" ht="15" customHeight="1" s="198">
      <c r="A51" s="197" t="n">
        <v>0</v>
      </c>
      <c r="B51" s="150" t="n">
        <v>7</v>
      </c>
    </row>
    <row r="52" ht="15" customHeight="1" s="198">
      <c r="A52" s="197" t="n">
        <v>0.1</v>
      </c>
      <c r="B52" s="150" t="n">
        <v>3</v>
      </c>
    </row>
    <row r="53" ht="15" customHeight="1" s="198">
      <c r="A53" s="197" t="n">
        <v>0.30001</v>
      </c>
      <c r="B53" s="150" t="n">
        <v>0</v>
      </c>
    </row>
    <row r="55" ht="15" customHeight="1" s="198">
      <c r="A55" s="196" t="inlineStr">
        <is>
          <t>Points: net royalty per sale on the main format ($)</t>
        </is>
      </c>
    </row>
    <row r="56" ht="15" customHeight="1" s="198">
      <c r="A56" s="186" t="inlineStr">
        <is>
          <t>Royalty from (at or above)</t>
        </is>
      </c>
      <c r="B56" s="186" t="inlineStr">
        <is>
          <t>Points</t>
        </is>
      </c>
    </row>
    <row r="57" ht="15" customHeight="1" s="198">
      <c r="A57" s="150" t="n">
        <v>0</v>
      </c>
      <c r="B57" s="150" t="n">
        <v>0</v>
      </c>
    </row>
    <row r="58" ht="15" customHeight="1" s="198">
      <c r="A58" s="150" t="n">
        <v>2</v>
      </c>
      <c r="B58" s="150" t="n">
        <v>5</v>
      </c>
    </row>
    <row r="59" ht="15" customHeight="1" s="198">
      <c r="A59" s="150" t="n">
        <v>4</v>
      </c>
      <c r="B59" s="150" t="n">
        <v>8</v>
      </c>
    </row>
    <row r="61" ht="15" customHeight="1" s="198">
      <c r="A61" s="196" t="inlineStr">
        <is>
          <t>Dropdown: search intent clarity</t>
        </is>
      </c>
    </row>
    <row r="62" ht="15" customHeight="1" s="198">
      <c r="A62" s="186" t="inlineStr">
        <is>
          <t>Dropdown option</t>
        </is>
      </c>
      <c r="B62" s="186" t="inlineStr">
        <is>
          <t>Points</t>
        </is>
      </c>
    </row>
    <row r="63" ht="15" customHeight="1" s="198">
      <c r="A63" s="138" t="inlineStr">
        <is>
          <t>High – specific problem + buying word</t>
        </is>
      </c>
      <c r="B63" s="150" t="n">
        <v>8</v>
      </c>
    </row>
    <row r="64" ht="15" customHeight="1" s="198">
      <c r="A64" s="138" t="inlineStr">
        <is>
          <t>Medium – topic with some buying signal</t>
        </is>
      </c>
      <c r="B64" s="150" t="n">
        <v>4</v>
      </c>
    </row>
    <row r="65" ht="15" customHeight="1" s="198">
      <c r="A65" s="138" t="inlineStr">
        <is>
          <t>Low – vague, gift or inspirational</t>
        </is>
      </c>
      <c r="B65" s="150" t="n">
        <v>0</v>
      </c>
    </row>
    <row r="67" ht="15" customHeight="1" s="198">
      <c r="A67" s="196" t="inlineStr">
        <is>
          <t>Dropdown: freshness signal</t>
        </is>
      </c>
    </row>
    <row r="68" ht="15" customHeight="1" s="198">
      <c r="A68" s="186" t="inlineStr">
        <is>
          <t>Dropdown option</t>
        </is>
      </c>
      <c r="B68" s="186" t="inlineStr">
        <is>
          <t>Points</t>
        </is>
      </c>
    </row>
    <row r="69" ht="15" customHeight="1" s="198">
      <c r="A69" s="138" t="inlineStr">
        <is>
          <t>Yes – new entrant &lt;6 mo, &lt;100 reviews, BSR &lt;100k</t>
        </is>
      </c>
      <c r="B69" s="150" t="n">
        <v>7</v>
      </c>
    </row>
    <row r="70" ht="15" customHeight="1" s="198">
      <c r="A70" s="138" t="inlineStr">
        <is>
          <t>Partial – new entrant but weak signals</t>
        </is>
      </c>
      <c r="B70" s="150" t="n">
        <v>3</v>
      </c>
    </row>
    <row r="71" ht="15" customHeight="1" s="198">
      <c r="A71" s="138" t="inlineStr">
        <is>
          <t>No – no recent entrants</t>
        </is>
      </c>
      <c r="B71" s="150" t="n">
        <v>0</v>
      </c>
    </row>
    <row r="73" ht="15" customHeight="1" s="198">
      <c r="A73" s="196" t="inlineStr">
        <is>
          <t>Dropdown: quality defect gap in 1–3 star reviews</t>
        </is>
      </c>
    </row>
    <row r="74" ht="15" customHeight="1" s="198">
      <c r="A74" s="186" t="inlineStr">
        <is>
          <t>Dropdown option</t>
        </is>
      </c>
      <c r="B74" s="186" t="inlineStr">
        <is>
          <t>Points</t>
        </is>
      </c>
    </row>
    <row r="75" ht="15" customHeight="1" s="198">
      <c r="A75" s="138" t="inlineStr">
        <is>
          <t>Strong – 3+ recurring complaints (missing features, no answer key)</t>
        </is>
      </c>
      <c r="B75" s="150" t="n">
        <v>8</v>
      </c>
    </row>
    <row r="76" ht="15" customHeight="1" s="198">
      <c r="A76" s="138" t="inlineStr">
        <is>
          <t>Some – 1–2 recurring complaints</t>
        </is>
      </c>
      <c r="B76" s="150" t="n">
        <v>4</v>
      </c>
    </row>
    <row r="77" ht="15" customHeight="1" s="198">
      <c r="A77" s="138" t="inlineStr">
        <is>
          <t>None – no recurring defect</t>
        </is>
      </c>
      <c r="B77" s="150" t="n">
        <v>0</v>
      </c>
    </row>
    <row r="79" ht="15" customHeight="1" s="198">
      <c r="A79" s="196" t="inlineStr">
        <is>
          <t>Dropdown: return risk</t>
        </is>
      </c>
    </row>
    <row r="80" ht="15" customHeight="1" s="198">
      <c r="A80" s="186" t="inlineStr">
        <is>
          <t>Dropdown option</t>
        </is>
      </c>
      <c r="B80" s="186" t="inlineStr">
        <is>
          <t>Points</t>
        </is>
      </c>
    </row>
    <row r="81" ht="15" customHeight="1" s="198">
      <c r="A81" s="138" t="inlineStr">
        <is>
          <t>Low – utility log or workbook, &lt;2%</t>
        </is>
      </c>
      <c r="B81" s="150" t="n">
        <v>5</v>
      </c>
    </row>
    <row r="82" ht="15" customHeight="1" s="198">
      <c r="A82" s="138" t="inlineStr">
        <is>
          <t>Medium – 2–4%</t>
        </is>
      </c>
      <c r="B82" s="150" t="n">
        <v>2</v>
      </c>
    </row>
    <row r="83" ht="15" customHeight="1" s="198">
      <c r="A83" s="138" t="inlineStr">
        <is>
          <t>High – &gt;4% (gift or blank-style)</t>
        </is>
      </c>
      <c r="B83" s="150" t="n">
        <v>0</v>
      </c>
    </row>
    <row r="85" ht="15" customHeight="1" s="198">
      <c r="A85" s="196" t="inlineStr">
        <is>
          <t>Dropdown: production engine fit</t>
        </is>
      </c>
    </row>
    <row r="86" ht="15" customHeight="1" s="198">
      <c r="A86" s="186" t="inlineStr">
        <is>
          <t>Dropdown option</t>
        </is>
      </c>
      <c r="B86" s="186" t="inlineStr">
        <is>
          <t>Points</t>
        </is>
      </c>
    </row>
    <row r="87" ht="15" customHeight="1" s="198">
      <c r="A87" s="138" t="inlineStr">
        <is>
          <t>Full – templatable with the Python generator</t>
        </is>
      </c>
      <c r="B87" s="150" t="n">
        <v>8</v>
      </c>
    </row>
    <row r="88" ht="15" customHeight="1" s="198">
      <c r="A88" s="138" t="inlineStr">
        <is>
          <t>Partial – needs Book Studio or manual content</t>
        </is>
      </c>
      <c r="B88" s="150" t="n">
        <v>4</v>
      </c>
    </row>
    <row r="89" ht="15" customHeight="1" s="198">
      <c r="A89" s="138" t="inlineStr">
        <is>
          <t>Low – custom illustration or heavy manual work</t>
        </is>
      </c>
      <c r="B89" s="150" t="n">
        <v>0</v>
      </c>
    </row>
    <row r="91" ht="26.85000038146973" customHeight="1" s="198">
      <c r="A91" s="196" t="inlineStr">
        <is>
          <t>Dropdown: editorial accuracy surface (YMYL = automatic veto)</t>
        </is>
      </c>
    </row>
    <row r="92" ht="15" customHeight="1" s="198">
      <c r="A92" s="186" t="inlineStr">
        <is>
          <t>Dropdown option</t>
        </is>
      </c>
      <c r="B92" s="186" t="inlineStr">
        <is>
          <t>Points</t>
        </is>
      </c>
      <c r="C92" s="186" t="inlineStr">
        <is>
          <t>Veto?</t>
        </is>
      </c>
    </row>
    <row r="93" ht="15" customHeight="1" s="198">
      <c r="A93" s="138" t="inlineStr">
        <is>
          <t>Low – logs and forms, little fact-checking</t>
        </is>
      </c>
      <c r="B93" s="150" t="n">
        <v>7</v>
      </c>
      <c r="C93" s="138" t="inlineStr">
        <is>
          <t>No</t>
        </is>
      </c>
    </row>
    <row r="94" ht="15" customHeight="1" s="198">
      <c r="A94" s="138" t="inlineStr">
        <is>
          <t>Moderate – checkable facts (math, how-to)</t>
        </is>
      </c>
      <c r="B94" s="150" t="n">
        <v>4</v>
      </c>
      <c r="C94" s="138" t="inlineStr">
        <is>
          <t>No</t>
        </is>
      </c>
    </row>
    <row r="95" ht="15" customHeight="1" s="198">
      <c r="A95" s="138" t="inlineStr">
        <is>
          <t>High – needs expert review, not medical/legal/financial</t>
        </is>
      </c>
      <c r="B95" s="150" t="n">
        <v>2</v>
      </c>
      <c r="C95" s="138" t="inlineStr">
        <is>
          <t>No</t>
        </is>
      </c>
    </row>
    <row r="96" ht="15" customHeight="1" s="198">
      <c r="A96" s="138" t="inlineStr">
        <is>
          <t>YMYL – medical, legal or financial advice</t>
        </is>
      </c>
      <c r="B96" s="150" t="n">
        <v>0</v>
      </c>
      <c r="C96" s="138" t="inlineStr">
        <is>
          <t>Yes</t>
        </is>
      </c>
    </row>
    <row r="98" ht="15" customHeight="1" s="198">
      <c r="A98" s="196" t="inlineStr">
        <is>
          <t>Dropdown: cluster potential</t>
        </is>
      </c>
    </row>
    <row r="99" ht="15" customHeight="1" s="198">
      <c r="A99" s="186" t="inlineStr">
        <is>
          <t>Dropdown option</t>
        </is>
      </c>
      <c r="B99" s="186" t="inlineStr">
        <is>
          <t>Points</t>
        </is>
      </c>
    </row>
    <row r="100" ht="15" customHeight="1" s="198">
      <c r="A100" s="138" t="inlineStr">
        <is>
          <t>5+ cluster titles possible</t>
        </is>
      </c>
      <c r="B100" s="150" t="n">
        <v>8</v>
      </c>
    </row>
    <row r="101" ht="15" customHeight="1" s="198">
      <c r="A101" s="138" t="inlineStr">
        <is>
          <t>3–4 cluster titles</t>
        </is>
      </c>
      <c r="B101" s="150" t="n">
        <v>4</v>
      </c>
    </row>
    <row r="102" ht="15" customHeight="1" s="198">
      <c r="A102" s="138" t="inlineStr">
        <is>
          <t>1–2 titles / one-off</t>
        </is>
      </c>
      <c r="B102" s="150" t="n">
        <v>0</v>
      </c>
    </row>
    <row r="104" ht="15" customHeight="1" s="198">
      <c r="A104" s="196" t="inlineStr">
        <is>
          <t>Dropdown: cross-channel versatility (distinct-use rule)</t>
        </is>
      </c>
    </row>
    <row r="105" ht="15" customHeight="1" s="198">
      <c r="A105" s="186" t="inlineStr">
        <is>
          <t>Dropdown option</t>
        </is>
      </c>
      <c r="B105" s="186" t="inlineStr">
        <is>
          <t>Points</t>
        </is>
      </c>
    </row>
    <row r="106" ht="15" customHeight="1" s="198">
      <c r="A106" s="138" t="inlineStr">
        <is>
          <t>3 channels with distinct uses</t>
        </is>
      </c>
      <c r="B106" s="150" t="n">
        <v>7</v>
      </c>
    </row>
    <row r="107" ht="15" customHeight="1" s="198">
      <c r="A107" s="138" t="inlineStr">
        <is>
          <t>2 channels with distinct uses</t>
        </is>
      </c>
      <c r="B107" s="150" t="n">
        <v>4</v>
      </c>
    </row>
    <row r="108" ht="15" customHeight="1" s="198">
      <c r="A108" s="138" t="inlineStr">
        <is>
          <t>1 channel only</t>
        </is>
      </c>
      <c r="B108" s="150" t="n">
        <v>2</v>
      </c>
    </row>
    <row r="110" ht="15" customHeight="1" s="198">
      <c r="A110" s="196" t="inlineStr">
        <is>
          <t>Dropdown: Yes / No</t>
        </is>
      </c>
    </row>
    <row r="111" ht="15" customHeight="1" s="198">
      <c r="A111" s="150" t="inlineStr">
        <is>
          <t>Yes</t>
        </is>
      </c>
    </row>
    <row r="112" ht="15" customHeight="1" s="198">
      <c r="A112" s="150" t="inlineStr">
        <is>
          <t>No</t>
        </is>
      </c>
    </row>
    <row r="114" ht="15" customHeight="1" s="198">
      <c r="A114" s="196" t="inlineStr">
        <is>
          <t>Dropdown: product type (niche candidates)</t>
        </is>
      </c>
    </row>
    <row r="115" ht="15" customHeight="1" s="198">
      <c r="A115" s="150" t="inlineStr">
        <is>
          <t>Flagship</t>
        </is>
      </c>
    </row>
    <row r="116" ht="15" customHeight="1" s="198">
      <c r="A116" s="150" t="inlineStr">
        <is>
          <t>Medium-content</t>
        </is>
      </c>
    </row>
    <row r="117" ht="15" customHeight="1" s="198">
      <c r="A117" s="150" t="inlineStr">
        <is>
          <t>Low-content</t>
        </is>
      </c>
    </row>
    <row r="118" ht="15" customHeight="1" s="198">
      <c r="A118" s="150" t="inlineStr">
        <is>
          <t>Digital-first eBook</t>
        </is>
      </c>
    </row>
    <row r="120" ht="15" customHeight="1" s="198">
      <c r="A120" s="196" t="inlineStr">
        <is>
          <t>Dropdown: format</t>
        </is>
      </c>
    </row>
    <row r="121" ht="15" customHeight="1" s="198">
      <c r="A121" s="150" t="inlineStr">
        <is>
          <t>Paperback</t>
        </is>
      </c>
    </row>
    <row r="122" ht="15" customHeight="1" s="198">
      <c r="A122" s="150" t="inlineStr">
        <is>
          <t>eBook</t>
        </is>
      </c>
    </row>
    <row r="123" ht="15" customHeight="1" s="198">
      <c r="A123" s="150" t="inlineStr">
        <is>
          <t>Hardcover</t>
        </is>
      </c>
    </row>
    <row r="125" ht="15" customHeight="1" s="198">
      <c r="A125" s="196" t="inlineStr">
        <is>
          <t>Dropdown: slot bucket</t>
        </is>
      </c>
    </row>
    <row r="126" ht="15" customHeight="1" s="198">
      <c r="A126" s="150" t="inlineStr">
        <is>
          <t>Flagship</t>
        </is>
      </c>
    </row>
    <row r="127" ht="15" customHeight="1" s="198">
      <c r="A127" s="150" t="inlineStr">
        <is>
          <t>Medium-content</t>
        </is>
      </c>
    </row>
    <row r="128" ht="15" customHeight="1" s="198">
      <c r="A128" s="150" t="inlineStr">
        <is>
          <t>Low-content</t>
        </is>
      </c>
    </row>
    <row r="129" ht="15" customHeight="1" s="198">
      <c r="A129" s="150" t="inlineStr">
        <is>
          <t>Open reserve</t>
        </is>
      </c>
    </row>
    <row r="130" ht="15" customHeight="1" s="198">
      <c r="A130" s="150" t="inlineStr">
        <is>
          <t>Digital-first</t>
        </is>
      </c>
    </row>
    <row r="132" ht="15" customHeight="1" s="198">
      <c r="A132" s="196" t="inlineStr">
        <is>
          <t>Dropdown: next action on a niche</t>
        </is>
      </c>
    </row>
    <row r="133" ht="15" customHeight="1" s="198">
      <c r="A133" s="150" t="inlineStr">
        <is>
          <t>Researching</t>
        </is>
      </c>
    </row>
    <row r="134" ht="15" customHeight="1" s="198">
      <c r="A134" s="150" t="inlineStr">
        <is>
          <t>Allocate slot</t>
        </is>
      </c>
    </row>
    <row r="135" ht="15" customHeight="1" s="198">
      <c r="A135" s="150" t="inlineStr">
        <is>
          <t>Re-angle and rescore</t>
        </is>
      </c>
    </row>
    <row r="136" ht="15" customHeight="1" s="198">
      <c r="A136" s="150" t="inlineStr">
        <is>
          <t>Archive</t>
        </is>
      </c>
    </row>
    <row r="138" ht="15" customHeight="1" s="198">
      <c r="A138" s="196" t="inlineStr">
        <is>
          <t>Dropdown: routine tick</t>
        </is>
      </c>
    </row>
    <row r="139" ht="15" customHeight="1" s="198">
      <c r="A139" s="150" t="inlineStr">
        <is>
          <t>✓</t>
        </is>
      </c>
    </row>
  </sheetData>
  <mergeCells count="1">
    <mergeCell ref="A2:D2"/>
  </mergeCells>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N79"/>
  <sheetViews>
    <sheetView workbookViewId="0">
      <selection activeCell="A1" sqref="A1"/>
    </sheetView>
  </sheetViews>
  <sheetFormatPr baseColWidth="8" defaultRowHeight="15"/>
  <cols>
    <col width="14" customWidth="1" style="198" min="1" max="1"/>
    <col width="11" customWidth="1" style="198" min="2" max="2"/>
    <col width="26" customWidth="1" style="198" min="3" max="3"/>
    <col width="28" customWidth="1" style="198" min="4" max="4"/>
    <col width="43" customWidth="1" style="198" min="5" max="5"/>
    <col width="25" customWidth="1" style="198" min="6" max="6"/>
    <col width="38" customWidth="1" style="198" min="7" max="7"/>
    <col width="43" customWidth="1" style="198" min="8" max="8"/>
    <col width="40" customWidth="1" style="198" min="9" max="9"/>
    <col width="43" customWidth="1" style="198" min="10" max="10"/>
    <col width="28" customWidth="1" style="198" min="11" max="11"/>
    <col width="43" customWidth="1" style="198" min="12" max="12"/>
    <col width="28" customWidth="1" style="198" min="13" max="13"/>
    <col width="22" customWidth="1" style="198" min="14" max="14"/>
  </cols>
  <sheetData>
    <row r="1">
      <c r="A1" s="215" t="inlineStr">
        <is>
          <t>BASELINE CANDIDATE UNIVERSE — PRIVATE PUBLISHING BUSINESS</t>
        </is>
      </c>
    </row>
    <row r="2">
      <c r="A2" s="207" t="inlineStr">
        <is>
          <t>75 hypotheses to map the landscape: 55 book candidates for the Amazon/KDP scoring model and 20 direct-digital product concepts for channel-native research. These are deliberately varied candidates, not validated opportunities or instructions to publish everything.</t>
        </is>
      </c>
    </row>
    <row r="4">
      <c r="A4" s="212" t="inlineStr">
        <is>
          <t>Candidate code</t>
        </is>
      </c>
      <c r="B4" s="212" t="inlineStr">
        <is>
          <t>Scoring ID</t>
        </is>
      </c>
      <c r="C4" s="212" t="inlineStr">
        <is>
          <t>Workstream</t>
        </is>
      </c>
      <c r="D4" s="212" t="inlineStr">
        <is>
          <t>Cluster</t>
        </is>
      </c>
      <c r="E4" s="212" t="inlineStr">
        <is>
          <t>Candidate / product concept</t>
        </is>
      </c>
      <c r="F4" s="212" t="inlineStr">
        <is>
          <t>Internal product class</t>
        </is>
      </c>
      <c r="G4" s="212" t="inlineStr">
        <is>
          <t>Intended buyer</t>
        </is>
      </c>
      <c r="H4" s="212" t="inlineStr">
        <is>
          <t>Buyer task / use case</t>
        </is>
      </c>
      <c r="I4" s="212" t="inlineStr">
        <is>
          <t>Why this hypothesis is included</t>
        </is>
      </c>
      <c r="J4" s="212" t="inlineStr">
        <is>
          <t>Channels to investigate</t>
        </is>
      </c>
      <c r="K4" s="212" t="inlineStr">
        <is>
          <t>Related candidate codes</t>
        </is>
      </c>
      <c r="L4" s="212" t="inlineStr">
        <is>
          <t>Key research questions / risks</t>
        </is>
      </c>
      <c r="M4" s="212" t="inlineStr">
        <is>
          <t>Research route</t>
        </is>
      </c>
      <c r="N4" s="212" t="inlineStr">
        <is>
          <t>Status</t>
        </is>
      </c>
    </row>
    <row r="5" ht="48" customHeight="1" s="198">
      <c r="A5" s="214" t="inlineStr">
        <is>
          <t>BOOK-01</t>
        </is>
      </c>
      <c r="B5" s="214" t="n">
        <v>1</v>
      </c>
      <c r="C5" s="214" t="inlineStr">
        <is>
          <t>Book candidate — utility / low-content</t>
        </is>
      </c>
      <c r="D5" s="214" t="inlineStr">
        <is>
          <t>Beekeeping / apiculture</t>
        </is>
      </c>
      <c r="E5" s="214" t="inlineStr">
        <is>
          <t>Beekeeping Hive Inspection Log</t>
        </is>
      </c>
      <c r="F5" s="214" t="inlineStr">
        <is>
          <t>Low-content Utility</t>
        </is>
      </c>
      <c r="G5" s="214" t="inlineStr">
        <is>
          <t>Small-scale and hobby beekeepers managing one or more hives</t>
        </is>
      </c>
      <c r="H5" s="214" t="inlineStr">
        <is>
          <t>Record inspections, colony conditions, treatments/feeding where appropriate, equipment and follow-up actions</t>
        </is>
      </c>
      <c r="I5" s="214" t="inlineStr">
        <is>
          <t>Existing research case; useful calibration candidate for the baseline</t>
        </is>
      </c>
      <c r="J5" s="214" t="inlineStr">
        <is>
          <t>Amazon.com / KDP paperback</t>
        </is>
      </c>
      <c r="K5" s="214" t="inlineStr">
        <is>
          <t>BOOK-44; DIG-05</t>
        </is>
      </c>
      <c r="L5" s="214" t="inlineStr">
        <is>
          <t>Verify existing research; current date/evidence accuracy; whether a focused interior solves documented beekeeper-record gaps.</t>
        </is>
      </c>
      <c r="M5" s="214" t="inlineStr">
        <is>
          <t>Candidate Universe + Scoring</t>
        </is>
      </c>
      <c r="N5" s="214" t="inlineStr">
        <is>
          <t>Existing research — revalidate</t>
        </is>
      </c>
    </row>
    <row r="6" ht="48" customHeight="1" s="198">
      <c r="A6" s="214" t="inlineStr">
        <is>
          <t>BOOK-02</t>
        </is>
      </c>
      <c r="B6" s="214" t="n">
        <v>2</v>
      </c>
      <c r="C6" s="214" t="inlineStr">
        <is>
          <t>Book candidate — utility / low-content</t>
        </is>
      </c>
      <c r="D6" s="214" t="inlineStr">
        <is>
          <t>Marine / small-craft ownership</t>
        </is>
      </c>
      <c r="E6" s="214" t="inlineStr">
        <is>
          <t>Small Boat &amp; Marine Engine Maintenance Log</t>
        </is>
      </c>
      <c r="F6" s="214" t="inlineStr">
        <is>
          <t>Low-content</t>
        </is>
      </c>
      <c r="G6" s="214" t="inlineStr">
        <is>
          <t>Private boat owners and small-craft operators</t>
        </is>
      </c>
      <c r="H6" s="214" t="inlineStr">
        <is>
          <t>Record engine hours, servicing, inspections, parts, repairs and seasonal storage</t>
        </is>
      </c>
      <c r="I6" s="214" t="inlineStr">
        <is>
          <t>Specific recurring maintenance record rather than a generic notebook</t>
        </is>
      </c>
      <c r="J6" s="214" t="inlineStr">
        <is>
          <t>Amazon.com / KDP paperback</t>
        </is>
      </c>
      <c r="K6" s="214" t="inlineStr">
        <is>
          <t>BOOK-43</t>
        </is>
      </c>
      <c r="L6" s="214" t="inlineStr">
        <is>
          <t>Check different engine types, boat sizes, price/royalty, competitor completeness and any safety-critical claims.</t>
        </is>
      </c>
      <c r="M6" s="214" t="inlineStr">
        <is>
          <t>Candidate Universe + Scoring</t>
        </is>
      </c>
      <c r="N6" s="214" t="inlineStr">
        <is>
          <t>Seed — not validated</t>
        </is>
      </c>
    </row>
    <row r="7" ht="48" customHeight="1" s="198">
      <c r="A7" s="214" t="inlineStr">
        <is>
          <t>BOOK-03</t>
        </is>
      </c>
      <c r="B7" s="214" t="n">
        <v>3</v>
      </c>
      <c r="C7" s="214" t="inlineStr">
        <is>
          <t>Book candidate — workbook / activity</t>
        </is>
      </c>
      <c r="D7" s="214" t="inlineStr">
        <is>
          <t>Math practice / education</t>
        </is>
      </c>
      <c r="E7" s="214" t="inlineStr">
        <is>
          <t>Middle School Fractions &amp; Decimals Practice Workbook (Grades 5–6)</t>
        </is>
      </c>
      <c r="F7" s="214" t="inlineStr">
        <is>
          <t>Medium-content</t>
        </is>
      </c>
      <c r="G7" s="214" t="inlineStr">
        <is>
          <t>Parents, tutors and learners needing extra Grades 5–6 practice</t>
        </is>
      </c>
      <c r="H7" s="214" t="inlineStr">
        <is>
          <t>Practice fractions, decimals, conversions, comparison and mixed operations with answer key</t>
        </is>
      </c>
      <c r="I7" s="214" t="inlineStr">
        <is>
          <t>Clear skill target and potential for progressive practice</t>
        </is>
      </c>
      <c r="J7" s="214" t="inlineStr">
        <is>
          <t>Amazon.com / KDP paperback; inspect digital education channels only for distinct derivatives</t>
        </is>
      </c>
      <c r="K7" s="214" t="inlineStr">
        <is>
          <t>BOOK-26; BOOK-27; DIG-08; DIG-09</t>
        </is>
      </c>
      <c r="L7" s="214" t="inlineStr">
        <is>
          <t>Inspect grade-level fit, answer-key accuracy, curriculum alignment, differentiation and entrenched competitors.</t>
        </is>
      </c>
      <c r="M7" s="214" t="inlineStr">
        <is>
          <t>Candidate Universe + Scoring</t>
        </is>
      </c>
      <c r="N7" s="214" t="inlineStr">
        <is>
          <t>Seed — not validated</t>
        </is>
      </c>
    </row>
    <row r="8" ht="48" customHeight="1" s="198">
      <c r="A8" s="214" t="inlineStr">
        <is>
          <t>BOOK-04</t>
        </is>
      </c>
      <c r="B8" s="214" t="n">
        <v>4</v>
      </c>
      <c r="C8" s="214" t="inlineStr">
        <is>
          <t>Book candidate — workbook / activity</t>
        </is>
      </c>
      <c r="D8" s="214" t="inlineStr">
        <is>
          <t>Chess learning / skill practice</t>
        </is>
      </c>
      <c r="E8" s="214" t="inlineStr">
        <is>
          <t>Beginner Chess Tactics &amp; Puzzle Workbook</t>
        </is>
      </c>
      <c r="F8" s="214" t="inlineStr">
        <is>
          <t>Medium-content</t>
        </is>
      </c>
      <c r="G8" s="214" t="inlineStr">
        <is>
          <t>Beginning chess players, parents and chess instructors</t>
        </is>
      </c>
      <c r="H8" s="214" t="inlineStr">
        <is>
          <t>Learn basic tactical motifs through graduated puzzles and solutions</t>
        </is>
      </c>
      <c r="I8" s="214" t="inlineStr">
        <is>
          <t>Structured skill progression rather than an undifferentiated puzzle collection</t>
        </is>
      </c>
      <c r="J8" s="214" t="inlineStr">
        <is>
          <t>Amazon.com / KDP paperback; inspect digital education channels only for distinct derivatives</t>
        </is>
      </c>
      <c r="K8" s="214" t="inlineStr">
        <is>
          <t>None yet</t>
        </is>
      </c>
      <c r="L8" s="214" t="inlineStr">
        <is>
          <t>Assess high competition, puzzle uniqueness, notation accuracy, diagrams and answer explanations.</t>
        </is>
      </c>
      <c r="M8" s="214" t="inlineStr">
        <is>
          <t>Candidate Universe + Scoring</t>
        </is>
      </c>
      <c r="N8" s="214" t="inlineStr">
        <is>
          <t>Seed — not validated</t>
        </is>
      </c>
    </row>
    <row r="9" ht="48" customHeight="1" s="198">
      <c r="A9" s="214" t="inlineStr">
        <is>
          <t>BOOK-05</t>
        </is>
      </c>
      <c r="B9" s="214" t="n">
        <v>5</v>
      </c>
      <c r="C9" s="214" t="inlineStr">
        <is>
          <t>Book candidate — utility / low-content</t>
        </is>
      </c>
      <c r="D9" s="214" t="inlineStr">
        <is>
          <t>Sourdough / home baking</t>
        </is>
      </c>
      <c r="E9" s="214" t="inlineStr">
        <is>
          <t>Sourdough Starter &amp; Bake Tracking Log</t>
        </is>
      </c>
      <c r="F9" s="214" t="inlineStr">
        <is>
          <t>Low-content</t>
        </is>
      </c>
      <c r="G9" s="214" t="inlineStr">
        <is>
          <t>Home bakers who maintain starters and repeat recipes</t>
        </is>
      </c>
      <c r="H9" s="214" t="inlineStr">
        <is>
          <t>Track feedings, starter condition, fermentation, ratios, bake variables and results</t>
        </is>
      </c>
      <c r="I9" s="214" t="inlineStr">
        <is>
          <t>Repeated use tied to a specific hobby and measurable variables</t>
        </is>
      </c>
      <c r="J9" s="214" t="inlineStr">
        <is>
          <t>Amazon.com / KDP paperback</t>
        </is>
      </c>
      <c r="K9" s="214" t="inlineStr">
        <is>
          <t>BOOK-45; DIG-06</t>
        </is>
      </c>
      <c r="L9" s="214" t="inlineStr">
        <is>
          <t>Test whether buyers want a standalone log versus free recipe notes; identify interior gaps and realistic repeat-use frequency.</t>
        </is>
      </c>
      <c r="M9" s="214" t="inlineStr">
        <is>
          <t>Candidate Universe + Scoring</t>
        </is>
      </c>
      <c r="N9" s="214" t="inlineStr">
        <is>
          <t>Seed — not validated</t>
        </is>
      </c>
    </row>
    <row r="10" ht="48" customHeight="1" s="198">
      <c r="A10" s="214" t="inlineStr">
        <is>
          <t>BOOK-06</t>
        </is>
      </c>
      <c r="B10" s="214" t="n">
        <v>6</v>
      </c>
      <c r="C10" s="214" t="inlineStr">
        <is>
          <t>Book candidate — utility / low-content</t>
        </is>
      </c>
      <c r="D10" s="214" t="inlineStr">
        <is>
          <t>RV ownership / travel</t>
        </is>
      </c>
      <c r="E10" s="214" t="inlineStr">
        <is>
          <t>RV Trip, Inspection &amp; Maintenance Logbook</t>
        </is>
      </c>
      <c r="F10" s="214" t="inlineStr">
        <is>
          <t>Low-content</t>
        </is>
      </c>
      <c r="G10" s="214" t="inlineStr">
        <is>
          <t>RV owners planning trips and maintaining their vehicles</t>
        </is>
      </c>
      <c r="H10" s="214" t="inlineStr">
        <is>
          <t>Record pre-trip checks, service history, mileage, campgrounds and recurring tasks</t>
        </is>
      </c>
      <c r="I10" s="214" t="inlineStr">
        <is>
          <t>Combines ownership records with practical travel use</t>
        </is>
      </c>
      <c r="J10" s="214" t="inlineStr">
        <is>
          <t>Amazon.com / KDP paperback</t>
        </is>
      </c>
      <c r="K10" s="214" t="inlineStr">
        <is>
          <t>BOOK-46; DIG-04; DIG-20</t>
        </is>
      </c>
      <c r="L10" s="214" t="inlineStr">
        <is>
          <t>Check whether combination titles are too broad; compare motorhome/travel trailer-specific needs and price economics.</t>
        </is>
      </c>
      <c r="M10" s="214" t="inlineStr">
        <is>
          <t>Candidate Universe + Scoring</t>
        </is>
      </c>
      <c r="N10" s="214" t="inlineStr">
        <is>
          <t>Seed — not validated</t>
        </is>
      </c>
    </row>
    <row r="11" ht="48" customHeight="1" s="198">
      <c r="A11" s="214" t="inlineStr">
        <is>
          <t>BOOK-07</t>
        </is>
      </c>
      <c r="B11" s="214" t="n">
        <v>7</v>
      </c>
      <c r="C11" s="214" t="inlineStr">
        <is>
          <t>Book candidate — utility / low-content</t>
        </is>
      </c>
      <c r="D11" s="214" t="inlineStr">
        <is>
          <t>HVAC trade records</t>
        </is>
      </c>
      <c r="E11" s="214" t="inlineStr">
        <is>
          <t>HVAC Service Call &amp; Equipment Maintenance Log</t>
        </is>
      </c>
      <c r="F11" s="214" t="inlineStr">
        <is>
          <t>Low-content</t>
        </is>
      </c>
      <c r="G11" s="214" t="inlineStr">
        <is>
          <t>Independent HVAC technicians and small service businesses</t>
        </is>
      </c>
      <c r="H11" s="214" t="inlineStr">
        <is>
          <t>Record customer/site, unit details, symptoms, work completed, parts and follow-up</t>
        </is>
      </c>
      <c r="I11" s="214" t="inlineStr">
        <is>
          <t>Trade-specific fields may provide a utility advantage over generic logs</t>
        </is>
      </c>
      <c r="J11" s="214" t="inlineStr">
        <is>
          <t>Amazon.com / KDP paperback</t>
        </is>
      </c>
      <c r="K11" s="214" t="inlineStr">
        <is>
          <t>BOOK-55; DIG-07; DIG-16</t>
        </is>
      </c>
      <c r="L11" s="214" t="inlineStr">
        <is>
          <t>Check field terminology, writable area, job workflow fit, service technician versus facility maintenance use.</t>
        </is>
      </c>
      <c r="M11" s="214" t="inlineStr">
        <is>
          <t>Candidate Universe + Scoring</t>
        </is>
      </c>
      <c r="N11" s="214" t="inlineStr">
        <is>
          <t>Seed — not validated</t>
        </is>
      </c>
    </row>
    <row r="12" ht="48" customHeight="1" s="198">
      <c r="A12" s="214" t="inlineStr">
        <is>
          <t>BOOK-08</t>
        </is>
      </c>
      <c r="B12" s="214" t="n">
        <v>8</v>
      </c>
      <c r="C12" s="214" t="inlineStr">
        <is>
          <t>Book candidate — workbook / activity</t>
        </is>
      </c>
      <c r="D12" s="214" t="inlineStr">
        <is>
          <t>Family travel / children's activities</t>
        </is>
      </c>
      <c r="E12" s="214" t="inlineStr">
        <is>
          <t>Road Trip Activity Book for Kids Ages 8–12</t>
        </is>
      </c>
      <c r="F12" s="214" t="inlineStr">
        <is>
          <t>Medium-content</t>
        </is>
      </c>
      <c r="G12" s="214" t="inlineStr">
        <is>
          <t>Parents seeking screen-free car-trip activities for ages 8–12</t>
        </is>
      </c>
      <c r="H12" s="214" t="inlineStr">
        <is>
          <t>Mix observation games, word challenges, drawing prompts and travel problem-solving</t>
        </is>
      </c>
      <c r="I12" s="214" t="inlineStr">
        <is>
          <t>Clear age band and use occasion</t>
        </is>
      </c>
      <c r="J12" s="214" t="inlineStr">
        <is>
          <t>Amazon.com / KDP paperback; inspect digital education channels only for distinct derivatives</t>
        </is>
      </c>
      <c r="K12" s="214" t="inlineStr">
        <is>
          <t>DIG-11</t>
        </is>
      </c>
      <c r="L12" s="214" t="inlineStr">
        <is>
          <t>Evaluate age appropriateness, activity variety, ink/print practicality, competitor quality and seasonality.</t>
        </is>
      </c>
      <c r="M12" s="214" t="inlineStr">
        <is>
          <t>Candidate Universe + Scoring</t>
        </is>
      </c>
      <c r="N12" s="214" t="inlineStr">
        <is>
          <t>Seed — not validated</t>
        </is>
      </c>
    </row>
    <row r="13" ht="48" customHeight="1" s="198">
      <c r="A13" s="214" t="inlineStr">
        <is>
          <t>BOOK-09</t>
        </is>
      </c>
      <c r="B13" s="214" t="n">
        <v>9</v>
      </c>
      <c r="C13" s="214" t="inlineStr">
        <is>
          <t>Book candidate — high-content / flagship</t>
        </is>
      </c>
      <c r="D13" s="214" t="inlineStr">
        <is>
          <t>Homeownership / home maintenance</t>
        </is>
      </c>
      <c r="E13" s="214" t="inlineStr">
        <is>
          <t>First-Time Homeowner Seasonal Maintenance Playbook</t>
        </is>
      </c>
      <c r="F13" s="214" t="inlineStr">
        <is>
          <t>Flagship</t>
        </is>
      </c>
      <c r="G13" s="214" t="inlineStr">
        <is>
          <t>First-time homeowners who need a manageable maintenance routine</t>
        </is>
      </c>
      <c r="H13" s="214" t="inlineStr">
        <is>
          <t>Explain seasonal tasks, prioritization, basic records and when to call a professional</t>
        </is>
      </c>
      <c r="I13" s="214" t="inlineStr">
        <is>
          <t>Practical recurring problem with potential for related record tools</t>
        </is>
      </c>
      <c r="J13" s="214" t="inlineStr">
        <is>
          <t>KDP paperback + Kindle eBook; consider Google Play, Apple Books, Kobo after eligibility and format checks</t>
        </is>
      </c>
      <c r="K13" s="214" t="inlineStr">
        <is>
          <t>BOOK-24; BOOK-52; DIG-01; DIG-02</t>
        </is>
      </c>
      <c r="L13" s="214" t="inlineStr">
        <is>
          <t>Avoid legal/engineering claims; define scope, level, climate/region and differentiation from generic homeowner manuals.</t>
        </is>
      </c>
      <c r="M13" s="214" t="inlineStr">
        <is>
          <t>Candidate Universe + Scoring</t>
        </is>
      </c>
      <c r="N13" s="214" t="inlineStr">
        <is>
          <t>Seed — not validated</t>
        </is>
      </c>
    </row>
    <row r="14" ht="48" customHeight="1" s="198">
      <c r="A14" s="214" t="inlineStr">
        <is>
          <t>BOOK-10</t>
        </is>
      </c>
      <c r="B14" s="214" t="n">
        <v>10</v>
      </c>
      <c r="C14" s="214" t="inlineStr">
        <is>
          <t>Book candidate — digital-first eBook</t>
        </is>
      </c>
      <c r="D14" s="214" t="inlineStr">
        <is>
          <t>Backyard birding / nature learning</t>
        </is>
      </c>
      <c r="E14" s="214" t="inlineStr">
        <is>
          <t>Backyard Birdwatching Field Guide for Beginners</t>
        </is>
      </c>
      <c r="F14" s="214" t="inlineStr">
        <is>
          <t>Digital-first eBook</t>
        </is>
      </c>
      <c r="G14" s="214" t="inlineStr">
        <is>
          <t>New birdwatchers who want to start observing birds near home</t>
        </is>
      </c>
      <c r="H14" s="214" t="inlineStr">
        <is>
          <t>Teach observation habits, beginner identification principles, note-taking and ethical viewing</t>
        </is>
      </c>
      <c r="I14" s="214" t="inlineStr">
        <is>
          <t>Possible digital-first guide plus connected field resources</t>
        </is>
      </c>
      <c r="J14" s="214" t="inlineStr">
        <is>
          <t>Kindle eBook + Google Play Books / Apple Books / Kobo; D2D only if its content policy permits</t>
        </is>
      </c>
      <c r="K14" s="214" t="inlineStr">
        <is>
          <t>BOOK-18; BOOK-35; DIG-17</t>
        </is>
      </c>
      <c r="L14" s="214" t="inlineStr">
        <is>
          <t>Consider regional scope, image/illustration rights, factual accuracy and competition from established field guides.</t>
        </is>
      </c>
      <c r="M14" s="214" t="inlineStr">
        <is>
          <t>Candidate Universe + Scoring</t>
        </is>
      </c>
      <c r="N14" s="214" t="inlineStr">
        <is>
          <t>Seed — not validated</t>
        </is>
      </c>
    </row>
    <row r="15" ht="48" customHeight="1" s="198">
      <c r="A15" s="214" t="inlineStr">
        <is>
          <t>BOOK-11</t>
        </is>
      </c>
      <c r="B15" s="214" t="n">
        <v>11</v>
      </c>
      <c r="C15" s="214" t="inlineStr">
        <is>
          <t>Book candidate — utility / low-content</t>
        </is>
      </c>
      <c r="D15" s="214" t="inlineStr">
        <is>
          <t>Rental property operations</t>
        </is>
      </c>
      <c r="E15" s="214" t="inlineStr">
        <is>
          <t>Rental Property Turnover &amp; Maintenance Log</t>
        </is>
      </c>
      <c r="F15" s="214" t="inlineStr">
        <is>
          <t>Low-content</t>
        </is>
      </c>
      <c r="G15" s="214" t="inlineStr">
        <is>
          <t>Small landlords and property managers handling recurring turnover</t>
        </is>
      </c>
      <c r="H15" s="214" t="inlineStr">
        <is>
          <t>Track inspection, cleaning, repairs, keys, appliances and move-in/move-out tasks</t>
        </is>
      </c>
      <c r="I15" s="214" t="inlineStr">
        <is>
          <t>Task-specific operating record rather than blank journal</t>
        </is>
      </c>
      <c r="J15" s="214" t="inlineStr">
        <is>
          <t>Amazon.com / KDP paperback</t>
        </is>
      </c>
      <c r="K15" s="214" t="inlineStr">
        <is>
          <t>BOOK-51; DIG-03</t>
        </is>
      </c>
      <c r="L15" s="214" t="inlineStr">
        <is>
          <t>Separate maintenance records from legal/lease advice; identify DIY landlord versus professional manager needs.</t>
        </is>
      </c>
      <c r="M15" s="214" t="inlineStr">
        <is>
          <t>Candidate Universe + Scoring</t>
        </is>
      </c>
      <c r="N15" s="214" t="inlineStr">
        <is>
          <t>Seed — not validated</t>
        </is>
      </c>
    </row>
    <row r="16" ht="48" customHeight="1" s="198">
      <c r="A16" s="214" t="inlineStr">
        <is>
          <t>BOOK-12</t>
        </is>
      </c>
      <c r="B16" s="214" t="n">
        <v>12</v>
      </c>
      <c r="C16" s="214" t="inlineStr">
        <is>
          <t>Book candidate — utility / low-content</t>
        </is>
      </c>
      <c r="D16" s="214" t="inlineStr">
        <is>
          <t>Fleet / vehicle operations</t>
        </is>
      </c>
      <c r="E16" s="214" t="inlineStr">
        <is>
          <t>Small Fleet Vehicle Maintenance Log</t>
        </is>
      </c>
      <c r="F16" s="214" t="inlineStr">
        <is>
          <t>Low-content</t>
        </is>
      </c>
      <c r="G16" s="214" t="inlineStr">
        <is>
          <t>Small businesses managing several work vehicles</t>
        </is>
      </c>
      <c r="H16" s="214" t="inlineStr">
        <is>
          <t>Record mileage, service intervals, inspections, repairs, expenses and downtime</t>
        </is>
      </c>
      <c r="I16" s="214" t="inlineStr">
        <is>
          <t>Business-use recordkeeping with a clear recurring task</t>
        </is>
      </c>
      <c r="J16" s="214" t="inlineStr">
        <is>
          <t>Amazon.com / KDP paperback</t>
        </is>
      </c>
      <c r="K16" s="214" t="inlineStr">
        <is>
          <t>BOOK-13; BOOK-55</t>
        </is>
      </c>
      <c r="L16" s="214" t="inlineStr">
        <is>
          <t>Compare per-vehicle versus fleet-wide layouts and whether a digital spreadsheet better serves the buyer.</t>
        </is>
      </c>
      <c r="M16" s="214" t="inlineStr">
        <is>
          <t>Candidate Universe + Scoring</t>
        </is>
      </c>
      <c r="N16" s="214" t="inlineStr">
        <is>
          <t>Seed — not validated</t>
        </is>
      </c>
    </row>
    <row r="17" ht="48" customHeight="1" s="198">
      <c r="A17" s="214" t="inlineStr">
        <is>
          <t>BOOK-13</t>
        </is>
      </c>
      <c r="B17" s="214" t="n">
        <v>13</v>
      </c>
      <c r="C17" s="214" t="inlineStr">
        <is>
          <t>Book candidate — utility / low-content</t>
        </is>
      </c>
      <c r="D17" s="214" t="inlineStr">
        <is>
          <t>Motorcycle ownership</t>
        </is>
      </c>
      <c r="E17" s="214" t="inlineStr">
        <is>
          <t>Motorcycle Maintenance &amp; Service Log</t>
        </is>
      </c>
      <c r="F17" s="214" t="inlineStr">
        <is>
          <t>Low-content</t>
        </is>
      </c>
      <c r="G17" s="214" t="inlineStr">
        <is>
          <t>Motorcycle owners who track servicing and modifications</t>
        </is>
      </c>
      <c r="H17" s="214" t="inlineStr">
        <is>
          <t>Record mileage, maintenance, parts, tire changes, repairs and upgrades</t>
        </is>
      </c>
      <c r="I17" s="214" t="inlineStr">
        <is>
          <t>Specific ownership use case and recurring entries</t>
        </is>
      </c>
      <c r="J17" s="214" t="inlineStr">
        <is>
          <t>Amazon.com / KDP paperback</t>
        </is>
      </c>
      <c r="K17" s="214" t="inlineStr">
        <is>
          <t>BOOK-12</t>
        </is>
      </c>
      <c r="L17" s="214" t="inlineStr">
        <is>
          <t>Compare cruiser/sport/touring/general formats, field usability and level of competition.</t>
        </is>
      </c>
      <c r="M17" s="214" t="inlineStr">
        <is>
          <t>Candidate Universe + Scoring</t>
        </is>
      </c>
      <c r="N17" s="214" t="inlineStr">
        <is>
          <t>Seed — not validated</t>
        </is>
      </c>
    </row>
    <row r="18" ht="48" customHeight="1" s="198">
      <c r="A18" s="214" t="inlineStr">
        <is>
          <t>BOOK-14</t>
        </is>
      </c>
      <c r="B18" s="214" t="n">
        <v>14</v>
      </c>
      <c r="C18" s="214" t="inlineStr">
        <is>
          <t>Book candidate — utility / low-content</t>
        </is>
      </c>
      <c r="D18" s="214" t="inlineStr">
        <is>
          <t>Backyard poultry / smallholding</t>
        </is>
      </c>
      <c r="E18" s="214" t="inlineStr">
        <is>
          <t>Poultry Flock &amp; Egg Production Record Book</t>
        </is>
      </c>
      <c r="F18" s="214" t="inlineStr">
        <is>
          <t>Low-content</t>
        </is>
      </c>
      <c r="G18" s="214" t="inlineStr">
        <is>
          <t>Small flock owners and hobby poultry keepers</t>
        </is>
      </c>
      <c r="H18" s="214" t="inlineStr">
        <is>
          <t>Record flock counts, egg production, feed, observations and routine care</t>
        </is>
      </c>
      <c r="I18" s="214" t="inlineStr">
        <is>
          <t>Purpose-specific records for a defined hobby/small-farm task</t>
        </is>
      </c>
      <c r="J18" s="214" t="inlineStr">
        <is>
          <t>Amazon.com / KDP paperback</t>
        </is>
      </c>
      <c r="K18" s="214" t="inlineStr">
        <is>
          <t>BOOK-15; BOOK-25</t>
        </is>
      </c>
      <c r="L18" s="214" t="inlineStr">
        <is>
          <t>Avoid veterinary advice; assess seasonal/production differences and needed fields.</t>
        </is>
      </c>
      <c r="M18" s="214" t="inlineStr">
        <is>
          <t>Candidate Universe + Scoring</t>
        </is>
      </c>
      <c r="N18" s="214" t="inlineStr">
        <is>
          <t>Seed — not validated</t>
        </is>
      </c>
    </row>
    <row r="19" ht="48" customHeight="1" s="198">
      <c r="A19" s="214" t="inlineStr">
        <is>
          <t>BOOK-15</t>
        </is>
      </c>
      <c r="B19" s="214" t="n">
        <v>15</v>
      </c>
      <c r="C19" s="214" t="inlineStr">
        <is>
          <t>Book candidate — utility / low-content</t>
        </is>
      </c>
      <c r="D19" s="214" t="inlineStr">
        <is>
          <t>Home gardening / crop records</t>
        </is>
      </c>
      <c r="E19" s="214" t="inlineStr">
        <is>
          <t>Vegetable Garden Planting &amp; Harvest Log</t>
        </is>
      </c>
      <c r="F19" s="214" t="inlineStr">
        <is>
          <t>Low-content</t>
        </is>
      </c>
      <c r="G19" s="214" t="inlineStr">
        <is>
          <t>Home gardeners tracking successive plantings and harvests</t>
        </is>
      </c>
      <c r="H19" s="214" t="inlineStr">
        <is>
          <t>Record variety, sowing/transplant dates, conditions, harvest and lessons learned</t>
        </is>
      </c>
      <c r="I19" s="214" t="inlineStr">
        <is>
          <t>Repeated seasonal use and a natural way to structure records</t>
        </is>
      </c>
      <c r="J19" s="214" t="inlineStr">
        <is>
          <t>Amazon.com / KDP paperback</t>
        </is>
      </c>
      <c r="K19" s="214" t="inlineStr">
        <is>
          <t>BOOK-54; DIG-19</t>
        </is>
      </c>
      <c r="L19" s="214" t="inlineStr">
        <is>
          <t>Test whether existing garden journals are interchangeable; regional growing-season requirements may change the design.</t>
        </is>
      </c>
      <c r="M19" s="214" t="inlineStr">
        <is>
          <t>Candidate Universe + Scoring</t>
        </is>
      </c>
      <c r="N19" s="214" t="inlineStr">
        <is>
          <t>Seed — not validated</t>
        </is>
      </c>
    </row>
    <row r="20" ht="48" customHeight="1" s="198">
      <c r="A20" s="214" t="inlineStr">
        <is>
          <t>BOOK-16</t>
        </is>
      </c>
      <c r="B20" s="214" t="n">
        <v>16</v>
      </c>
      <c r="C20" s="214" t="inlineStr">
        <is>
          <t>Book candidate — utility / low-content</t>
        </is>
      </c>
      <c r="D20" s="214" t="inlineStr">
        <is>
          <t>Aquarium keeping</t>
        </is>
      </c>
      <c r="E20" s="214" t="inlineStr">
        <is>
          <t>Aquarium Maintenance &amp; Water-Parameter Log</t>
        </is>
      </c>
      <c r="F20" s="214" t="inlineStr">
        <is>
          <t>Low-content</t>
        </is>
      </c>
      <c r="G20" s="214" t="inlineStr">
        <is>
          <t>Freshwater aquarium hobbyists maintaining tanks</t>
        </is>
      </c>
      <c r="H20" s="214" t="inlineStr">
        <is>
          <t>Record water tests, water changes, equipment maintenance, livestock additions and observations</t>
        </is>
      </c>
      <c r="I20" s="214" t="inlineStr">
        <is>
          <t>Specific recurring maintenance use with structured fields</t>
        </is>
      </c>
      <c r="J20" s="214" t="inlineStr">
        <is>
          <t>Amazon.com / KDP paperback</t>
        </is>
      </c>
      <c r="K20" s="214" t="inlineStr">
        <is>
          <t>None yet</t>
        </is>
      </c>
      <c r="L20" s="214" t="inlineStr">
        <is>
          <t>Ensure parameters and units are described accurately; distinguish freshwater from saltwater needs; avoid treatment claims.</t>
        </is>
      </c>
      <c r="M20" s="214" t="inlineStr">
        <is>
          <t>Candidate Universe + Scoring</t>
        </is>
      </c>
      <c r="N20" s="214" t="inlineStr">
        <is>
          <t>Seed — not validated</t>
        </is>
      </c>
    </row>
    <row r="21" ht="48" customHeight="1" s="198">
      <c r="A21" s="214" t="inlineStr">
        <is>
          <t>BOOK-17</t>
        </is>
      </c>
      <c r="B21" s="214" t="n">
        <v>17</v>
      </c>
      <c r="C21" s="214" t="inlineStr">
        <is>
          <t>Book candidate — utility / low-content</t>
        </is>
      </c>
      <c r="D21" s="214" t="inlineStr">
        <is>
          <t>Fishing / angling records</t>
        </is>
      </c>
      <c r="E21" s="214" t="inlineStr">
        <is>
          <t>Fishing Catch &amp; Tackle Log</t>
        </is>
      </c>
      <c r="F21" s="214" t="inlineStr">
        <is>
          <t>Low-content</t>
        </is>
      </c>
      <c r="G21" s="214" t="inlineStr">
        <is>
          <t>Recreational anglers who record trips and conditions</t>
        </is>
      </c>
      <c r="H21" s="214" t="inlineStr">
        <is>
          <t>Record location, weather, bait/lure, technique, species and catch details</t>
        </is>
      </c>
      <c r="I21" s="214" t="inlineStr">
        <is>
          <t>Hobby-specific data collection that can be used across trips</t>
        </is>
      </c>
      <c r="J21" s="214" t="inlineStr">
        <is>
          <t>Amazon.com / KDP paperback</t>
        </is>
      </c>
      <c r="K21" s="214" t="inlineStr">
        <is>
          <t>BOOK-23</t>
        </is>
      </c>
      <c r="L21" s="214" t="inlineStr">
        <is>
          <t>Check regional species/season specificity, privacy/safety, useful field set and competitive differentiation.</t>
        </is>
      </c>
      <c r="M21" s="214" t="inlineStr">
        <is>
          <t>Candidate Universe + Scoring</t>
        </is>
      </c>
      <c r="N21" s="214" t="inlineStr">
        <is>
          <t>Seed — not validated</t>
        </is>
      </c>
    </row>
    <row r="22" ht="48" customHeight="1" s="198">
      <c r="A22" s="214" t="inlineStr">
        <is>
          <t>BOOK-18</t>
        </is>
      </c>
      <c r="B22" s="214" t="n">
        <v>18</v>
      </c>
      <c r="C22" s="214" t="inlineStr">
        <is>
          <t>Book candidate — utility / low-content</t>
        </is>
      </c>
      <c r="D22" s="214" t="inlineStr">
        <is>
          <t>Backyard birding / nature learning</t>
        </is>
      </c>
      <c r="E22" s="214" t="inlineStr">
        <is>
          <t>Backyard Birdwatching Observation Log</t>
        </is>
      </c>
      <c r="F22" s="214" t="inlineStr">
        <is>
          <t>Low-content</t>
        </is>
      </c>
      <c r="G22" s="214" t="inlineStr">
        <is>
          <t>Birdwatchers who want to maintain a personal sightings record</t>
        </is>
      </c>
      <c r="H22" s="214" t="inlineStr">
        <is>
          <t>Log date, location, species, behavior, habitat, weather and notes</t>
        </is>
      </c>
      <c r="I22" s="214" t="inlineStr">
        <is>
          <t>A practical companion to a beginner guide, with a distinct repeated-use purpose</t>
        </is>
      </c>
      <c r="J22" s="214" t="inlineStr">
        <is>
          <t>Amazon.com / KDP paperback</t>
        </is>
      </c>
      <c r="K22" s="214" t="inlineStr">
        <is>
          <t>BOOK-10; BOOK-35; DIG-17</t>
        </is>
      </c>
      <c r="L22" s="214" t="inlineStr">
        <is>
          <t>Compare observation logbooks with generic wildlife journals; determine if a region-neutral layout is adequate.</t>
        </is>
      </c>
      <c r="M22" s="214" t="inlineStr">
        <is>
          <t>Candidate Universe + Scoring</t>
        </is>
      </c>
      <c r="N22" s="214" t="inlineStr">
        <is>
          <t>Seed — not validated</t>
        </is>
      </c>
    </row>
    <row r="23" ht="48" customHeight="1" s="198">
      <c r="A23" s="214" t="inlineStr">
        <is>
          <t>BOOK-19</t>
        </is>
      </c>
      <c r="B23" s="214" t="n">
        <v>19</v>
      </c>
      <c r="C23" s="214" t="inlineStr">
        <is>
          <t>Book candidate — utility / low-content</t>
        </is>
      </c>
      <c r="D23" s="214" t="inlineStr">
        <is>
          <t>Amateur astronomy</t>
        </is>
      </c>
      <c r="E23" s="214" t="inlineStr">
        <is>
          <t>Amateur Astronomy Observation Log</t>
        </is>
      </c>
      <c r="F23" s="214" t="inlineStr">
        <is>
          <t>Low-content</t>
        </is>
      </c>
      <c r="G23" s="214" t="inlineStr">
        <is>
          <t>Beginner and hobby astronomers recording observing sessions</t>
        </is>
      </c>
      <c r="H23" s="214" t="inlineStr">
        <is>
          <t>Record target, date/time, equipment, conditions, sketch and observation notes</t>
        </is>
      </c>
      <c r="I23" s="214" t="inlineStr">
        <is>
          <t>Specialized recordkeeping linked to repeated sessions</t>
        </is>
      </c>
      <c r="J23" s="214" t="inlineStr">
        <is>
          <t>Amazon.com / KDP paperback</t>
        </is>
      </c>
      <c r="K23" s="214" t="inlineStr">
        <is>
          <t>BOOK-36; BOOK-53</t>
        </is>
      </c>
      <c r="L23" s="214" t="inlineStr">
        <is>
          <t>Determine whether star charts are expected; avoid unlicensed maps; compare telescope/no-telescope formats.</t>
        </is>
      </c>
      <c r="M23" s="214" t="inlineStr">
        <is>
          <t>Candidate Universe + Scoring</t>
        </is>
      </c>
      <c r="N23" s="214" t="inlineStr">
        <is>
          <t>Seed — not validated</t>
        </is>
      </c>
    </row>
    <row r="24" ht="48" customHeight="1" s="198">
      <c r="A24" s="214" t="inlineStr">
        <is>
          <t>BOOK-20</t>
        </is>
      </c>
      <c r="B24" s="214" t="n">
        <v>20</v>
      </c>
      <c r="C24" s="214" t="inlineStr">
        <is>
          <t>Book candidate — utility / low-content</t>
        </is>
      </c>
      <c r="D24" s="214" t="inlineStr">
        <is>
          <t>Woodworking / maker projects</t>
        </is>
      </c>
      <c r="E24" s="214" t="inlineStr">
        <is>
          <t>Woodworking Project &amp; Materials Log</t>
        </is>
      </c>
      <c r="F24" s="214" t="inlineStr">
        <is>
          <t>Low-content</t>
        </is>
      </c>
      <c r="G24" s="214" t="inlineStr">
        <is>
          <t>Hobby woodworkers recording projects and materials</t>
        </is>
      </c>
      <c r="H24" s="214" t="inlineStr">
        <is>
          <t>Track plans, measurements, wood species, cut lists, finishes, costs and lessons</t>
        </is>
      </c>
      <c r="I24" s="214" t="inlineStr">
        <is>
          <t>Specific project documentation could outperform a blank notebook on utility</t>
        </is>
      </c>
      <c r="J24" s="214" t="inlineStr">
        <is>
          <t>Amazon.com / KDP paperback</t>
        </is>
      </c>
      <c r="K24" s="214" t="inlineStr">
        <is>
          <t>BOOK-41</t>
        </is>
      </c>
      <c r="L24" s="214" t="inlineStr">
        <is>
          <t>Assess whether target users prefer printable plans or digital tools; don't reproduce protected plans.</t>
        </is>
      </c>
      <c r="M24" s="214" t="inlineStr">
        <is>
          <t>Candidate Universe + Scoring</t>
        </is>
      </c>
      <c r="N24" s="214" t="inlineStr">
        <is>
          <t>Seed — not validated</t>
        </is>
      </c>
    </row>
    <row r="25" ht="48" customHeight="1" s="198">
      <c r="A25" s="214" t="inlineStr">
        <is>
          <t>BOOK-21</t>
        </is>
      </c>
      <c r="B25" s="214" t="n">
        <v>21</v>
      </c>
      <c r="C25" s="214" t="inlineStr">
        <is>
          <t>Book candidate — utility / low-content</t>
        </is>
      </c>
      <c r="D25" s="214" t="inlineStr">
        <is>
          <t>Cleaning service operations</t>
        </is>
      </c>
      <c r="E25" s="214" t="inlineStr">
        <is>
          <t>Cleaning Business Job &amp; Quality-Control Log</t>
        </is>
      </c>
      <c r="F25" s="214" t="inlineStr">
        <is>
          <t>Low-content</t>
        </is>
      </c>
      <c r="G25" s="214" t="inlineStr">
        <is>
          <t>Independent cleaners and small cleaning companies</t>
        </is>
      </c>
      <c r="H25" s="214" t="inlineStr">
        <is>
          <t>Record client/site, scheduled tasks, completed work, supplies, issues and follow-up</t>
        </is>
      </c>
      <c r="I25" s="214" t="inlineStr">
        <is>
          <t>Work-oriented records for a narrow small-business task</t>
        </is>
      </c>
      <c r="J25" s="214" t="inlineStr">
        <is>
          <t>Amazon.com / KDP paperback</t>
        </is>
      </c>
      <c r="K25" s="214" t="inlineStr">
        <is>
          <t>BOOK-22; BOOK-55; DIG-16</t>
        </is>
      </c>
      <c r="L25" s="214" t="inlineStr">
        <is>
          <t>Separate commercial cleaners from domestic household use; check privacy needs and field space.</t>
        </is>
      </c>
      <c r="M25" s="214" t="inlineStr">
        <is>
          <t>Candidate Universe + Scoring</t>
        </is>
      </c>
      <c r="N25" s="214" t="inlineStr">
        <is>
          <t>Seed — not validated</t>
        </is>
      </c>
    </row>
    <row r="26" ht="48" customHeight="1" s="198">
      <c r="A26" s="214" t="inlineStr">
        <is>
          <t>BOOK-22</t>
        </is>
      </c>
      <c r="B26" s="214" t="n">
        <v>22</v>
      </c>
      <c r="C26" s="214" t="inlineStr">
        <is>
          <t>Book candidate — utility / low-content</t>
        </is>
      </c>
      <c r="D26" s="214" t="inlineStr">
        <is>
          <t>Handyman / field-service operations</t>
        </is>
      </c>
      <c r="E26" s="214" t="inlineStr">
        <is>
          <t>Handyman Service Call &amp; Job Record Book</t>
        </is>
      </c>
      <c r="F26" s="214" t="inlineStr">
        <is>
          <t>Low-content</t>
        </is>
      </c>
      <c r="G26" s="214" t="inlineStr">
        <is>
          <t>Independent handymen and small repair-service operators</t>
        </is>
      </c>
      <c r="H26" s="214" t="inlineStr">
        <is>
          <t>Record job request, site, materials, work performed, time and follow-up</t>
        </is>
      </c>
      <c r="I26" s="214" t="inlineStr">
        <is>
          <t>Trade-specific workflow record rather than generic ruled pages</t>
        </is>
      </c>
      <c r="J26" s="214" t="inlineStr">
        <is>
          <t>Amazon.com / KDP paperback</t>
        </is>
      </c>
      <c r="K26" s="214" t="inlineStr">
        <is>
          <t>BOOK-21; BOOK-55; DIG-16</t>
        </is>
      </c>
      <c r="L26" s="214" t="inlineStr">
        <is>
          <t>Avoid legal/contract advice; examine job forms already used by this audience and their preferred medium.</t>
        </is>
      </c>
      <c r="M26" s="214" t="inlineStr">
        <is>
          <t>Candidate Universe + Scoring</t>
        </is>
      </c>
      <c r="N26" s="214" t="inlineStr">
        <is>
          <t>Seed — not validated</t>
        </is>
      </c>
    </row>
    <row r="27" ht="48" customHeight="1" s="198">
      <c r="A27" s="214" t="inlineStr">
        <is>
          <t>BOOK-23</t>
        </is>
      </c>
      <c r="B27" s="214" t="n">
        <v>23</v>
      </c>
      <c r="C27" s="214" t="inlineStr">
        <is>
          <t>Book candidate — utility / low-content</t>
        </is>
      </c>
      <c r="D27" s="214" t="inlineStr">
        <is>
          <t>Outdoor recreation / trip records</t>
        </is>
      </c>
      <c r="E27" s="214" t="inlineStr">
        <is>
          <t>Camping &amp; Hiking Trip Logbook</t>
        </is>
      </c>
      <c r="F27" s="214" t="inlineStr">
        <is>
          <t>Low-content</t>
        </is>
      </c>
      <c r="G27" s="214" t="inlineStr">
        <is>
          <t>Campers and hikers recording trips and gear use</t>
        </is>
      </c>
      <c r="H27" s="214" t="inlineStr">
        <is>
          <t>Log route/trip notes, conditions, campsites, equipment, mileage and lessons</t>
        </is>
      </c>
      <c r="I27" s="214" t="inlineStr">
        <is>
          <t>A recurring hobby use case with space for records</t>
        </is>
      </c>
      <c r="J27" s="214" t="inlineStr">
        <is>
          <t>Amazon.com / KDP paperback</t>
        </is>
      </c>
      <c r="K27" s="214" t="inlineStr">
        <is>
          <t>BOOK-17; BOOK-46</t>
        </is>
      </c>
      <c r="L27" s="214" t="inlineStr">
        <is>
          <t>Avoid navigation/safety claims; determine whether camping and hiking should be separate candidates.</t>
        </is>
      </c>
      <c r="M27" s="214" t="inlineStr">
        <is>
          <t>Candidate Universe + Scoring</t>
        </is>
      </c>
      <c r="N27" s="214" t="inlineStr">
        <is>
          <t>Seed — not validated</t>
        </is>
      </c>
    </row>
    <row r="28" ht="48" customHeight="1" s="198">
      <c r="A28" s="214" t="inlineStr">
        <is>
          <t>BOOK-24</t>
        </is>
      </c>
      <c r="B28" s="214" t="n">
        <v>24</v>
      </c>
      <c r="C28" s="214" t="inlineStr">
        <is>
          <t>Book candidate — utility / low-content</t>
        </is>
      </c>
      <c r="D28" s="214" t="inlineStr">
        <is>
          <t>Home records / ownership</t>
        </is>
      </c>
      <c r="E28" s="214" t="inlineStr">
        <is>
          <t>Home Inventory &amp; Warranty Record Book</t>
        </is>
      </c>
      <c r="F28" s="214" t="inlineStr">
        <is>
          <t>Low-content</t>
        </is>
      </c>
      <c r="G28" s="214" t="inlineStr">
        <is>
          <t>Homeowners organizing possessions, appliance details and maintenance records</t>
        </is>
      </c>
      <c r="H28" s="214" t="inlineStr">
        <is>
          <t>Record item, purchase date, serial number, warranty and service notes</t>
        </is>
      </c>
      <c r="I28" s="214" t="inlineStr">
        <is>
          <t>Specific record-management purpose and potential companion ecosystem</t>
        </is>
      </c>
      <c r="J28" s="214" t="inlineStr">
        <is>
          <t>Amazon.com / KDP paperback</t>
        </is>
      </c>
      <c r="K28" s="214" t="inlineStr">
        <is>
          <t>BOOK-09; BOOK-52; DIG-01; DIG-02</t>
        </is>
      </c>
      <c r="L28" s="214" t="inlineStr">
        <is>
          <t>Don't imply insurance advice or guaranteed claim outcomes; compare physical, spreadsheet and hybrid preferences.</t>
        </is>
      </c>
      <c r="M28" s="214" t="inlineStr">
        <is>
          <t>Candidate Universe + Scoring</t>
        </is>
      </c>
      <c r="N28" s="214" t="inlineStr">
        <is>
          <t>Seed — not validated</t>
        </is>
      </c>
    </row>
    <row r="29" ht="48" customHeight="1" s="198">
      <c r="A29" s="214" t="inlineStr">
        <is>
          <t>BOOK-25</t>
        </is>
      </c>
      <c r="B29" s="214" t="n">
        <v>25</v>
      </c>
      <c r="C29" s="214" t="inlineStr">
        <is>
          <t>Book candidate — utility / low-content</t>
        </is>
      </c>
      <c r="D29" s="214" t="inlineStr">
        <is>
          <t>Small farm / equipment operations</t>
        </is>
      </c>
      <c r="E29" s="214" t="inlineStr">
        <is>
          <t>Small Farm Equipment Inspection &amp; Maintenance Logbook</t>
        </is>
      </c>
      <c r="F29" s="214" t="inlineStr">
        <is>
          <t>Low-content</t>
        </is>
      </c>
      <c r="G29" s="214" t="inlineStr">
        <is>
          <t>Small farms and smallholders maintaining equipment</t>
        </is>
      </c>
      <c r="H29" s="214" t="inlineStr">
        <is>
          <t>Track machine hours, inspection tasks, repairs, parts and service dates</t>
        </is>
      </c>
      <c r="I29" s="214" t="inlineStr">
        <is>
          <t>Operational records for a specific work context</t>
        </is>
      </c>
      <c r="J29" s="214" t="inlineStr">
        <is>
          <t>Amazon.com / KDP paperback</t>
        </is>
      </c>
      <c r="K29" s="214" t="inlineStr">
        <is>
          <t>BOOK-14; BOOK-15; BOOK-43</t>
        </is>
      </c>
      <c r="L29" s="214" t="inlineStr">
        <is>
          <t>Assess machinery range, safety-critical fields and whether equipment-specific versions are needed.</t>
        </is>
      </c>
      <c r="M29" s="214" t="inlineStr">
        <is>
          <t>Candidate Universe + Scoring</t>
        </is>
      </c>
      <c r="N29" s="214" t="inlineStr">
        <is>
          <t>Seed — not validated</t>
        </is>
      </c>
    </row>
    <row r="30" ht="48" customHeight="1" s="198">
      <c r="A30" s="214" t="inlineStr">
        <is>
          <t>BOOK-26</t>
        </is>
      </c>
      <c r="B30" s="214" t="n">
        <v>26</v>
      </c>
      <c r="C30" s="214" t="inlineStr">
        <is>
          <t>Book candidate — workbook / activity</t>
        </is>
      </c>
      <c r="D30" s="214" t="inlineStr">
        <is>
          <t>Elementary math practice</t>
        </is>
      </c>
      <c r="E30" s="214" t="inlineStr">
        <is>
          <t>Multiplication &amp; Division Fluency Workbook (Grades 3–4)</t>
        </is>
      </c>
      <c r="F30" s="214" t="inlineStr">
        <is>
          <t>Medium-content</t>
        </is>
      </c>
      <c r="G30" s="214" t="inlineStr">
        <is>
          <t>Parents, tutors and Grades 3–4 learners</t>
        </is>
      </c>
      <c r="H30" s="214" t="inlineStr">
        <is>
          <t>Build fact fluency through varied practice, strategies and answer keys</t>
        </is>
      </c>
      <c r="I30" s="214" t="inlineStr">
        <is>
          <t>Clear skill outcome and progressive exercise structure</t>
        </is>
      </c>
      <c r="J30" s="214" t="inlineStr">
        <is>
          <t>Amazon.com / KDP paperback; inspect digital education channels only for distinct derivatives</t>
        </is>
      </c>
      <c r="K30" s="214" t="inlineStr">
        <is>
          <t>BOOK-03; BOOK-27; DIG-08; DIG-09</t>
        </is>
      </c>
      <c r="L30" s="214" t="inlineStr">
        <is>
          <t>Assess answer accuracy, grade alignment, repetition, differentiation and incumbent review profiles.</t>
        </is>
      </c>
      <c r="M30" s="214" t="inlineStr">
        <is>
          <t>Candidate Universe + Scoring</t>
        </is>
      </c>
      <c r="N30" s="214" t="inlineStr">
        <is>
          <t>Seed — not validated</t>
        </is>
      </c>
    </row>
    <row r="31" ht="48" customHeight="1" s="198">
      <c r="A31" s="214" t="inlineStr">
        <is>
          <t>BOOK-27</t>
        </is>
      </c>
      <c r="B31" s="214" t="n">
        <v>27</v>
      </c>
      <c r="C31" s="214" t="inlineStr">
        <is>
          <t>Book candidate — workbook / activity</t>
        </is>
      </c>
      <c r="D31" s="214" t="inlineStr">
        <is>
          <t>Elementary math practice</t>
        </is>
      </c>
      <c r="E31" s="214" t="inlineStr">
        <is>
          <t>Multi-Step Math Word Problems (Grades 4–5)</t>
        </is>
      </c>
      <c r="F31" s="214" t="inlineStr">
        <is>
          <t>Medium-content</t>
        </is>
      </c>
      <c r="G31" s="214" t="inlineStr">
        <is>
          <t>Parents, tutors and Grades 4–5 learners struggling with multi-step problems</t>
        </is>
      </c>
      <c r="H31" s="214" t="inlineStr">
        <is>
          <t>Practice selecting operations, showing work, estimating and checking solutions</t>
        </is>
      </c>
      <c r="I31" s="214" t="inlineStr">
        <is>
          <t>A narrower skill challenge than broad math practice</t>
        </is>
      </c>
      <c r="J31" s="214" t="inlineStr">
        <is>
          <t>Amazon.com / KDP paperback; inspect digital education channels only for distinct derivatives</t>
        </is>
      </c>
      <c r="K31" s="214" t="inlineStr">
        <is>
          <t>BOOK-03; BOOK-26; DIG-09</t>
        </is>
      </c>
      <c r="L31" s="214" t="inlineStr">
        <is>
          <t>Verify standards/grade fit; ensure original problems, unambiguous wording and accurate solutions.</t>
        </is>
      </c>
      <c r="M31" s="214" t="inlineStr">
        <is>
          <t>Candidate Universe + Scoring</t>
        </is>
      </c>
      <c r="N31" s="214" t="inlineStr">
        <is>
          <t>Seed — not validated</t>
        </is>
      </c>
    </row>
    <row r="32" ht="48" customHeight="1" s="198">
      <c r="A32" s="214" t="inlineStr">
        <is>
          <t>BOOK-28</t>
        </is>
      </c>
      <c r="B32" s="214" t="n">
        <v>28</v>
      </c>
      <c r="C32" s="214" t="inlineStr">
        <is>
          <t>Book candidate — workbook / activity</t>
        </is>
      </c>
      <c r="D32" s="214" t="inlineStr">
        <is>
          <t>Reading comprehension / literacy</t>
        </is>
      </c>
      <c r="E32" s="214" t="inlineStr">
        <is>
          <t>Reading Comprehension Workbook with Original Short Passages (Grades 4–5)</t>
        </is>
      </c>
      <c r="F32" s="214" t="inlineStr">
        <is>
          <t>Medium-content</t>
        </is>
      </c>
      <c r="G32" s="214" t="inlineStr">
        <is>
          <t>Parents, tutors and teachers supporting upper-elementary readers</t>
        </is>
      </c>
      <c r="H32" s="214" t="inlineStr">
        <is>
          <t>Practice inference, main idea, evidence and vocabulary using original passages</t>
        </is>
      </c>
      <c r="I32" s="214" t="inlineStr">
        <is>
          <t>Original passages offer an opportunity to differentiate the content itself</t>
        </is>
      </c>
      <c r="J32" s="214" t="inlineStr">
        <is>
          <t>Amazon.com / KDP paperback; inspect digital education channels only for distinct derivatives</t>
        </is>
      </c>
      <c r="K32" s="214" t="inlineStr">
        <is>
          <t>DIG-10</t>
        </is>
      </c>
      <c r="L32" s="214" t="inlineStr">
        <is>
          <t>Verify reading level, originality, answer quality, rights and whether the teacher/parent buyer is primary.</t>
        </is>
      </c>
      <c r="M32" s="214" t="inlineStr">
        <is>
          <t>Candidate Universe + Scoring</t>
        </is>
      </c>
      <c r="N32" s="214" t="inlineStr">
        <is>
          <t>Seed — not validated</t>
        </is>
      </c>
    </row>
    <row r="33" ht="48" customHeight="1" s="198">
      <c r="A33" s="214" t="inlineStr">
        <is>
          <t>BOOK-29</t>
        </is>
      </c>
      <c r="B33" s="214" t="n">
        <v>29</v>
      </c>
      <c r="C33" s="214" t="inlineStr">
        <is>
          <t>Book candidate — workbook / activity</t>
        </is>
      </c>
      <c r="D33" s="214" t="inlineStr">
        <is>
          <t>Writing mechanics / literacy</t>
        </is>
      </c>
      <c r="E33" s="214" t="inlineStr">
        <is>
          <t>Grammar, Punctuation &amp; Sentence Editing Workbook (Grades 5–6)</t>
        </is>
      </c>
      <c r="F33" s="214" t="inlineStr">
        <is>
          <t>Medium-content</t>
        </is>
      </c>
      <c r="G33" s="214" t="inlineStr">
        <is>
          <t>Upper-elementary learners, parents and teachers</t>
        </is>
      </c>
      <c r="H33" s="214" t="inlineStr">
        <is>
          <t>Practice punctuation, sentence structure, grammar and editing with explanations</t>
        </is>
      </c>
      <c r="I33" s="214" t="inlineStr">
        <is>
          <t>Skills are specific and lend themselves to sequenced exercises</t>
        </is>
      </c>
      <c r="J33" s="214" t="inlineStr">
        <is>
          <t>Amazon.com / KDP paperback; inspect digital education channels only for distinct derivatives</t>
        </is>
      </c>
      <c r="K33" s="214" t="inlineStr">
        <is>
          <t>DIG-13</t>
        </is>
      </c>
      <c r="L33" s="214" t="inlineStr">
        <is>
          <t>Check curriculum fit, answer-key accuracy, competing worksheets and differentiation.</t>
        </is>
      </c>
      <c r="M33" s="214" t="inlineStr">
        <is>
          <t>Candidate Universe + Scoring</t>
        </is>
      </c>
      <c r="N33" s="214" t="inlineStr">
        <is>
          <t>Seed — not validated</t>
        </is>
      </c>
    </row>
    <row r="34" ht="48" customHeight="1" s="198">
      <c r="A34" s="214" t="inlineStr">
        <is>
          <t>BOOK-30</t>
        </is>
      </c>
      <c r="B34" s="214" t="n">
        <v>30</v>
      </c>
      <c r="C34" s="214" t="inlineStr">
        <is>
          <t>Book candidate — workbook / activity</t>
        </is>
      </c>
      <c r="D34" s="214" t="inlineStr">
        <is>
          <t>Geography / social studies</t>
        </is>
      </c>
      <c r="E34" s="214" t="inlineStr">
        <is>
          <t>Geography Map Skills &amp; Spatial Thinking Workbook (Grades 4–6)</t>
        </is>
      </c>
      <c r="F34" s="214" t="inlineStr">
        <is>
          <t>Medium-content</t>
        </is>
      </c>
      <c r="G34" s="214" t="inlineStr">
        <is>
          <t>Homeschool families, parents and upper-elementary teachers</t>
        </is>
      </c>
      <c r="H34" s="214" t="inlineStr">
        <is>
          <t>Practice map keys, scale, coordinates, direction, legends and spatial reasoning</t>
        </is>
      </c>
      <c r="I34" s="214" t="inlineStr">
        <is>
          <t>Specific skill family and possible companion resource opportunity</t>
        </is>
      </c>
      <c r="J34" s="214" t="inlineStr">
        <is>
          <t>Amazon.com / KDP paperback; inspect digital education channels only for distinct derivatives</t>
        </is>
      </c>
      <c r="K34" s="214" t="inlineStr">
        <is>
          <t>DIG-12</t>
        </is>
      </c>
      <c r="L34" s="214" t="inlineStr">
        <is>
          <t>Create original maps/graphics or confirm rights; verify instructional sequence and curriculum alignment.</t>
        </is>
      </c>
      <c r="M34" s="214" t="inlineStr">
        <is>
          <t>Candidate Universe + Scoring</t>
        </is>
      </c>
      <c r="N34" s="214" t="inlineStr">
        <is>
          <t>Seed — not validated</t>
        </is>
      </c>
    </row>
    <row r="35" ht="48" customHeight="1" s="198">
      <c r="A35" s="214" t="inlineStr">
        <is>
          <t>BOOK-31</t>
        </is>
      </c>
      <c r="B35" s="214" t="n">
        <v>31</v>
      </c>
      <c r="C35" s="214" t="inlineStr">
        <is>
          <t>Book candidate — workbook / activity</t>
        </is>
      </c>
      <c r="D35" s="214" t="inlineStr">
        <is>
          <t>Language learning / travel Spanish</t>
        </is>
      </c>
      <c r="E35" s="214" t="inlineStr">
        <is>
          <t>Beginner Spanish for Travelers Practice Workbook</t>
        </is>
      </c>
      <c r="F35" s="214" t="inlineStr">
        <is>
          <t>Medium-content</t>
        </is>
      </c>
      <c r="G35" s="214" t="inlineStr">
        <is>
          <t>Adult beginners preparing for basic travel situations</t>
        </is>
      </c>
      <c r="H35" s="214" t="inlineStr">
        <is>
          <t>Practice essential vocabulary, sentence patterns, dialogues and review exercises</t>
        </is>
      </c>
      <c r="I35" s="214" t="inlineStr">
        <is>
          <t>Task-and-audience combination rather than a broad language course</t>
        </is>
      </c>
      <c r="J35" s="214" t="inlineStr">
        <is>
          <t>Amazon.com / KDP paperback; inspect digital education channels only for distinct derivatives</t>
        </is>
      </c>
      <c r="K35" s="214" t="inlineStr">
        <is>
          <t>None yet</t>
        </is>
      </c>
      <c r="L35" s="214" t="inlineStr">
        <is>
          <t>Require native-quality language review; assess competition from major language-learning products; avoid overpromising fluency.</t>
        </is>
      </c>
      <c r="M35" s="214" t="inlineStr">
        <is>
          <t>Candidate Universe + Scoring</t>
        </is>
      </c>
      <c r="N35" s="214" t="inlineStr">
        <is>
          <t>Seed — not validated</t>
        </is>
      </c>
    </row>
    <row r="36" ht="48" customHeight="1" s="198">
      <c r="A36" s="214" t="inlineStr">
        <is>
          <t>BOOK-32</t>
        </is>
      </c>
      <c r="B36" s="214" t="n">
        <v>32</v>
      </c>
      <c r="C36" s="214" t="inlineStr">
        <is>
          <t>Book candidate — workbook / activity</t>
        </is>
      </c>
      <c r="D36" s="214" t="inlineStr">
        <is>
          <t>Adult logic puzzles / large print</t>
        </is>
      </c>
      <c r="E36" s="214" t="inlineStr">
        <is>
          <t>Large-Print Logic &amp; Spatial Reasoning Puzzles for Adults</t>
        </is>
      </c>
      <c r="F36" s="214" t="inlineStr">
        <is>
          <t>Medium-content</t>
        </is>
      </c>
      <c r="G36" s="214" t="inlineStr">
        <is>
          <t>Adults who enjoy accessible, large-print logic challenges</t>
        </is>
      </c>
      <c r="H36" s="214" t="inlineStr">
        <is>
          <t>Solve varied original logic and spatial reasoning puzzles with solutions</t>
        </is>
      </c>
      <c r="I36" s="214" t="inlineStr">
        <is>
          <t>Format/use-case differentiation may matter more than a generic puzzle title</t>
        </is>
      </c>
      <c r="J36" s="214" t="inlineStr">
        <is>
          <t>Amazon.com / KDP paperback; inspect digital education channels only for distinct derivatives</t>
        </is>
      </c>
      <c r="K36" s="214" t="inlineStr">
        <is>
          <t>None yet</t>
        </is>
      </c>
      <c r="L36" s="214" t="inlineStr">
        <is>
          <t>Assess originality, puzzle correctness, font/grid readability, competition and suitability for print.</t>
        </is>
      </c>
      <c r="M36" s="214" t="inlineStr">
        <is>
          <t>Candidate Universe + Scoring</t>
        </is>
      </c>
      <c r="N36" s="214" t="inlineStr">
        <is>
          <t>Seed — not validated</t>
        </is>
      </c>
    </row>
    <row r="37" ht="48" customHeight="1" s="198">
      <c r="A37" s="214" t="inlineStr">
        <is>
          <t>BOOK-33</t>
        </is>
      </c>
      <c r="B37" s="214" t="n">
        <v>33</v>
      </c>
      <c r="C37" s="214" t="inlineStr">
        <is>
          <t>Book candidate — workbook / activity</t>
        </is>
      </c>
      <c r="D37" s="214" t="inlineStr">
        <is>
          <t>Calligraphy / lettering practice</t>
        </is>
      </c>
      <c r="E37" s="214" t="inlineStr">
        <is>
          <t>Beginner Calligraphy Practice Workbook for Adults</t>
        </is>
      </c>
      <c r="F37" s="214" t="inlineStr">
        <is>
          <t>Medium-content</t>
        </is>
      </c>
      <c r="G37" s="214" t="inlineStr">
        <is>
          <t>Adults learning basic hand lettering and calligraphy</t>
        </is>
      </c>
      <c r="H37" s="214" t="inlineStr">
        <is>
          <t>Practice strokes, letterforms, spacing and simple compositions</t>
        </is>
      </c>
      <c r="I37" s="214" t="inlineStr">
        <is>
          <t>Skill progression and designed practice pages rather than a generic notebook</t>
        </is>
      </c>
      <c r="J37" s="214" t="inlineStr">
        <is>
          <t>Amazon.com / KDP paperback; inspect digital education channels only for distinct derivatives</t>
        </is>
      </c>
      <c r="K37" s="214" t="inlineStr">
        <is>
          <t>None yet</t>
        </is>
      </c>
      <c r="L37" s="214" t="inlineStr">
        <is>
          <t>Check saturation, actual practice usability, rights to fonts/alphabets, and whether the design is distinctive.</t>
        </is>
      </c>
      <c r="M37" s="214" t="inlineStr">
        <is>
          <t>Candidate Universe + Scoring</t>
        </is>
      </c>
      <c r="N37" s="214" t="inlineStr">
        <is>
          <t>Seed — not validated</t>
        </is>
      </c>
    </row>
    <row r="38" ht="48" customHeight="1" s="198">
      <c r="A38" s="214" t="inlineStr">
        <is>
          <t>BOOK-34</t>
        </is>
      </c>
      <c r="B38" s="214" t="n">
        <v>34</v>
      </c>
      <c r="C38" s="214" t="inlineStr">
        <is>
          <t>Book candidate — workbook / activity</t>
        </is>
      </c>
      <c r="D38" s="214" t="inlineStr">
        <is>
          <t>Music education / beginner theory</t>
        </is>
      </c>
      <c r="E38" s="214" t="inlineStr">
        <is>
          <t>Music Theory Practice Workbook for Adult Beginners</t>
        </is>
      </c>
      <c r="F38" s="214" t="inlineStr">
        <is>
          <t>Medium-content</t>
        </is>
      </c>
      <c r="G38" s="214" t="inlineStr">
        <is>
          <t>Adult beginners learning foundational music theory</t>
        </is>
      </c>
      <c r="H38" s="214" t="inlineStr">
        <is>
          <t>Practice rhythm, notes, intervals, scales and notation concepts</t>
        </is>
      </c>
      <c r="I38" s="214" t="inlineStr">
        <is>
          <t>Structured skill acquisition with objectively checkable answers</t>
        </is>
      </c>
      <c r="J38" s="214" t="inlineStr">
        <is>
          <t>Amazon.com / KDP paperback; inspect digital education channels only for distinct derivatives</t>
        </is>
      </c>
      <c r="K38" s="214" t="inlineStr">
        <is>
          <t>None yet</t>
        </is>
      </c>
      <c r="L38" s="214" t="inlineStr">
        <is>
          <t>Ensure notation accuracy; avoid copyrighted lyrics or protected sheet music; assess level and instrument neutrality.</t>
        </is>
      </c>
      <c r="M38" s="214" t="inlineStr">
        <is>
          <t>Candidate Universe + Scoring</t>
        </is>
      </c>
      <c r="N38" s="214" t="inlineStr">
        <is>
          <t>Seed — not validated</t>
        </is>
      </c>
    </row>
    <row r="39" ht="48" customHeight="1" s="198">
      <c r="A39" s="214" t="inlineStr">
        <is>
          <t>BOOK-35</t>
        </is>
      </c>
      <c r="B39" s="214" t="n">
        <v>35</v>
      </c>
      <c r="C39" s="214" t="inlineStr">
        <is>
          <t>Book candidate — workbook / activity</t>
        </is>
      </c>
      <c r="D39" s="214" t="inlineStr">
        <is>
          <t>Birding / children's nature learning</t>
        </is>
      </c>
      <c r="E39" s="214" t="inlineStr">
        <is>
          <t>Backyard Birdwatching Activity Book for Kids</t>
        </is>
      </c>
      <c r="F39" s="214" t="inlineStr">
        <is>
          <t>Medium-content</t>
        </is>
      </c>
      <c r="G39" s="214" t="inlineStr">
        <is>
          <t>Families and teachers introducing children to bird observation</t>
        </is>
      </c>
      <c r="H39" s="214" t="inlineStr">
        <is>
          <t>Complete observation challenges, matching tasks, simple field activities and nature notes</t>
        </is>
      </c>
      <c r="I39" s="214" t="inlineStr">
        <is>
          <t>Connects an adult hobby niche to a children's activity audience</t>
        </is>
      </c>
      <c r="J39" s="214" t="inlineStr">
        <is>
          <t>Amazon.com / KDP paperback; inspect digital education channels only for distinct derivatives</t>
        </is>
      </c>
      <c r="K39" s="214" t="inlineStr">
        <is>
          <t>BOOK-10; BOOK-18; DIG-17</t>
        </is>
      </c>
      <c r="L39" s="214" t="inlineStr">
        <is>
          <t>Check age fit, illustration costs/rights, regional species scope and real activity variety.</t>
        </is>
      </c>
      <c r="M39" s="214" t="inlineStr">
        <is>
          <t>Candidate Universe + Scoring</t>
        </is>
      </c>
      <c r="N39" s="214" t="inlineStr">
        <is>
          <t>Seed — not validated</t>
        </is>
      </c>
    </row>
    <row r="40" ht="48" customHeight="1" s="198">
      <c r="A40" s="214" t="inlineStr">
        <is>
          <t>BOOK-36</t>
        </is>
      </c>
      <c r="B40" s="214" t="n">
        <v>36</v>
      </c>
      <c r="C40" s="214" t="inlineStr">
        <is>
          <t>Book candidate — workbook / activity</t>
        </is>
      </c>
      <c r="D40" s="214" t="inlineStr">
        <is>
          <t>Astronomy learning / family STEM</t>
        </is>
      </c>
      <c r="E40" s="214" t="inlineStr">
        <is>
          <t>Beginner Astronomy Activities &amp; Observation Workbook</t>
        </is>
      </c>
      <c r="F40" s="214" t="inlineStr">
        <is>
          <t>Medium-content</t>
        </is>
      </c>
      <c r="G40" s="214" t="inlineStr">
        <is>
          <t>Families, clubs and beginners learning astronomy</t>
        </is>
      </c>
      <c r="H40" s="214" t="inlineStr">
        <is>
          <t>Guide simple observation sessions, moon tracking, constellations and recording results</t>
        </is>
      </c>
      <c r="I40" s="214" t="inlineStr">
        <is>
          <t>Practice and observation activities can complement a beginner guide</t>
        </is>
      </c>
      <c r="J40" s="214" t="inlineStr">
        <is>
          <t>Amazon.com / KDP paperback; inspect digital education channels only for distinct derivatives</t>
        </is>
      </c>
      <c r="K40" s="214" t="inlineStr">
        <is>
          <t>BOOK-19; BOOK-53</t>
        </is>
      </c>
      <c r="L40" s="214" t="inlineStr">
        <is>
          <t>Check scientific accuracy, sky/hemisphere assumptions, date-sensitive charts and safety around solar observation.</t>
        </is>
      </c>
      <c r="M40" s="214" t="inlineStr">
        <is>
          <t>Candidate Universe + Scoring</t>
        </is>
      </c>
      <c r="N40" s="214" t="inlineStr">
        <is>
          <t>Seed — not validated</t>
        </is>
      </c>
    </row>
    <row r="41" ht="48" customHeight="1" s="198">
      <c r="A41" s="214" t="inlineStr">
        <is>
          <t>BOOK-37</t>
        </is>
      </c>
      <c r="B41" s="214" t="n">
        <v>37</v>
      </c>
      <c r="C41" s="214" t="inlineStr">
        <is>
          <t>Book candidate — workbook / activity</t>
        </is>
      </c>
      <c r="D41" s="214" t="inlineStr">
        <is>
          <t>Teen life skills / independent living</t>
        </is>
      </c>
      <c r="E41" s="214" t="inlineStr">
        <is>
          <t>Practical Life Skills for Teens Workbook</t>
        </is>
      </c>
      <c r="F41" s="214" t="inlineStr">
        <is>
          <t>Medium-content</t>
        </is>
      </c>
      <c r="G41" s="214" t="inlineStr">
        <is>
          <t>Parents, educators and teens practicing everyday skills</t>
        </is>
      </c>
      <c r="H41" s="214" t="inlineStr">
        <is>
          <t>Exercises on planning, communication, organizing tasks, decision-making and simple household routines</t>
        </is>
      </c>
      <c r="I41" s="214" t="inlineStr">
        <is>
          <t>Potentially combines multiple useful activities, but scope may need narrowing</t>
        </is>
      </c>
      <c r="J41" s="214" t="inlineStr">
        <is>
          <t>Amazon.com / KDP paperback; inspect digital education channels only for distinct derivatives</t>
        </is>
      </c>
      <c r="K41" s="214" t="inlineStr">
        <is>
          <t>None yet</t>
        </is>
      </c>
      <c r="L41" s="214" t="inlineStr">
        <is>
          <t>Test whether breadth weakens positioning; distinguish practical learning from generic motivational content.</t>
        </is>
      </c>
      <c r="M41" s="214" t="inlineStr">
        <is>
          <t>Candidate Universe + Scoring</t>
        </is>
      </c>
      <c r="N41" s="214" t="inlineStr">
        <is>
          <t>Seed — not validated</t>
        </is>
      </c>
    </row>
    <row r="42" ht="48" customHeight="1" s="198">
      <c r="A42" s="214" t="inlineStr">
        <is>
          <t>BOOK-38</t>
        </is>
      </c>
      <c r="B42" s="214" t="n">
        <v>38</v>
      </c>
      <c r="C42" s="214" t="inlineStr">
        <is>
          <t>Book candidate — workbook / activity</t>
        </is>
      </c>
      <c r="D42" s="214" t="inlineStr">
        <is>
          <t>Digital literacy / workplace basics</t>
        </is>
      </c>
      <c r="E42" s="214" t="inlineStr">
        <is>
          <t>Digital Skills Practice Workbook: File Management &amp; Spreadsheet Basics</t>
        </is>
      </c>
      <c r="F42" s="214" t="inlineStr">
        <is>
          <t>Medium-content</t>
        </is>
      </c>
      <c r="G42" s="214" t="inlineStr">
        <is>
          <t>Adult learners and beginner computer users</t>
        </is>
      </c>
      <c r="H42" s="214" t="inlineStr">
        <is>
          <t>Practice organizing files, naming versions, basic spreadsheet tables and common workflows</t>
        </is>
      </c>
      <c r="I42" s="214" t="inlineStr">
        <is>
          <t>A practice-oriented learning product with concrete tasks</t>
        </is>
      </c>
      <c r="J42" s="214" t="inlineStr">
        <is>
          <t>Amazon.com / KDP paperback; inspect digital education channels only for distinct derivatives</t>
        </is>
      </c>
      <c r="K42" s="214" t="inlineStr">
        <is>
          <t>BOOK-49; BOOK-50</t>
        </is>
      </c>
      <c r="L42" s="214" t="inlineStr">
        <is>
          <t>Choose operating-system/software-neutral or version-specific approach; verify current UI and exercise instructions.</t>
        </is>
      </c>
      <c r="M42" s="214" t="inlineStr">
        <is>
          <t>Candidate Universe + Scoring</t>
        </is>
      </c>
      <c r="N42" s="214" t="inlineStr">
        <is>
          <t>Seed — not validated</t>
        </is>
      </c>
    </row>
    <row r="43" ht="48" customHeight="1" s="198">
      <c r="A43" s="214" t="inlineStr">
        <is>
          <t>BOOK-39</t>
        </is>
      </c>
      <c r="B43" s="214" t="n">
        <v>39</v>
      </c>
      <c r="C43" s="214" t="inlineStr">
        <is>
          <t>Book candidate — workbook / activity</t>
        </is>
      </c>
      <c r="D43" s="214" t="inlineStr">
        <is>
          <t>Creative writing / teen learning</t>
        </is>
      </c>
      <c r="E43" s="214" t="inlineStr">
        <is>
          <t>Creative Writing &amp; Story-Building Workbook for Teens</t>
        </is>
      </c>
      <c r="F43" s="214" t="inlineStr">
        <is>
          <t>Medium-content</t>
        </is>
      </c>
      <c r="G43" s="214" t="inlineStr">
        <is>
          <t>Teen writers, parents and creative-writing teachers</t>
        </is>
      </c>
      <c r="H43" s="214" t="inlineStr">
        <is>
          <t>Develop characters, scenes, plot, dialogue and revision through guided exercises</t>
        </is>
      </c>
      <c r="I43" s="214" t="inlineStr">
        <is>
          <t>Combines instruction with practice rather than an empty prompt journal</t>
        </is>
      </c>
      <c r="J43" s="214" t="inlineStr">
        <is>
          <t>Amazon.com / KDP paperback; inspect digital education channels only for distinct derivatives</t>
        </is>
      </c>
      <c r="K43" s="214" t="inlineStr">
        <is>
          <t>None yet</t>
        </is>
      </c>
      <c r="L43" s="214" t="inlineStr">
        <is>
          <t>Avoid reducing it to repetitive prompts; test age positioning, differentiation and teacher appeal.</t>
        </is>
      </c>
      <c r="M43" s="214" t="inlineStr">
        <is>
          <t>Candidate Universe + Scoring</t>
        </is>
      </c>
      <c r="N43" s="214" t="inlineStr">
        <is>
          <t>Seed — not validated</t>
        </is>
      </c>
    </row>
    <row r="44" ht="48" customHeight="1" s="198">
      <c r="A44" s="214" t="inlineStr">
        <is>
          <t>BOOK-40</t>
        </is>
      </c>
      <c r="B44" s="214" t="n">
        <v>40</v>
      </c>
      <c r="C44" s="214" t="inlineStr">
        <is>
          <t>Book candidate — workbook / activity</t>
        </is>
      </c>
      <c r="D44" s="214" t="inlineStr">
        <is>
          <t>Homeschool science / observation</t>
        </is>
      </c>
      <c r="E44" s="214" t="inlineStr">
        <is>
          <t>Homeschool Science Observation Workbook</t>
        </is>
      </c>
      <c r="F44" s="214" t="inlineStr">
        <is>
          <t>Medium-content</t>
        </is>
      </c>
      <c r="G44" s="214" t="inlineStr">
        <is>
          <t>Homeschool families and elementary/middle-grade learners</t>
        </is>
      </c>
      <c r="H44" s="214" t="inlineStr">
        <is>
          <t>Record questions, observations, simple measurements, evidence and conclusions</t>
        </is>
      </c>
      <c r="I44" s="214" t="inlineStr">
        <is>
          <t>Can be differentiated through structured observation and reflection</t>
        </is>
      </c>
      <c r="J44" s="214" t="inlineStr">
        <is>
          <t>Amazon.com / KDP paperback; inspect digital education channels only for distinct derivatives</t>
        </is>
      </c>
      <c r="K44" s="214" t="inlineStr">
        <is>
          <t>DIG-12</t>
        </is>
      </c>
      <c r="L44" s="214" t="inlineStr">
        <is>
          <t>Avoid unsafe experiments; make instructions age-appropriate; check scientific accuracy and originality.</t>
        </is>
      </c>
      <c r="M44" s="214" t="inlineStr">
        <is>
          <t>Candidate Universe + Scoring</t>
        </is>
      </c>
      <c r="N44" s="214" t="inlineStr">
        <is>
          <t>Seed — not validated</t>
        </is>
      </c>
    </row>
    <row r="45" ht="48" customHeight="1" s="198">
      <c r="A45" s="214" t="inlineStr">
        <is>
          <t>BOOK-41</t>
        </is>
      </c>
      <c r="B45" s="214" t="n">
        <v>41</v>
      </c>
      <c r="C45" s="214" t="inlineStr">
        <is>
          <t>Book candidate — workbook / activity</t>
        </is>
      </c>
      <c r="D45" s="214" t="inlineStr">
        <is>
          <t>Woodworking / maker education</t>
        </is>
      </c>
      <c r="E45" s="214" t="inlineStr">
        <is>
          <t>Beginner Woodworking Skills &amp; Project Planning Workbook</t>
        </is>
      </c>
      <c r="F45" s="214" t="inlineStr">
        <is>
          <t>Medium-content</t>
        </is>
      </c>
      <c r="G45" s="214" t="inlineStr">
        <is>
          <t>Adult beginners planning small woodworking projects</t>
        </is>
      </c>
      <c r="H45" s="214" t="inlineStr">
        <is>
          <t>Plan measurements, materials, cuts, assembly steps, finishes and project retrospectives</t>
        </is>
      </c>
      <c r="I45" s="214" t="inlineStr">
        <is>
          <t>Blends learning with a practical project-planning artifact</t>
        </is>
      </c>
      <c r="J45" s="214" t="inlineStr">
        <is>
          <t>Amazon.com / KDP paperback; inspect digital education channels only for distinct derivatives</t>
        </is>
      </c>
      <c r="K45" s="214" t="inlineStr">
        <is>
          <t>BOOK-20</t>
        </is>
      </c>
      <c r="L45" s="214" t="inlineStr">
        <is>
          <t>Keep safety notes responsible; avoid publishing protected project plans; ensure worksheets have real instructional value.</t>
        </is>
      </c>
      <c r="M45" s="214" t="inlineStr">
        <is>
          <t>Candidate Universe + Scoring</t>
        </is>
      </c>
      <c r="N45" s="214" t="inlineStr">
        <is>
          <t>Seed — not validated</t>
        </is>
      </c>
    </row>
    <row r="46" ht="48" customHeight="1" s="198">
      <c r="A46" s="214" t="inlineStr">
        <is>
          <t>BOOK-42</t>
        </is>
      </c>
      <c r="B46" s="214" t="n">
        <v>42</v>
      </c>
      <c r="C46" s="214" t="inlineStr">
        <is>
          <t>Book candidate — workbook / activity</t>
        </is>
      </c>
      <c r="D46" s="214" t="inlineStr">
        <is>
          <t>Home cooking / skill practice</t>
        </is>
      </c>
      <c r="E46" s="214" t="inlineStr">
        <is>
          <t>Beginner Home Cooking Skills &amp; Recipe Experiment Workbook</t>
        </is>
      </c>
      <c r="F46" s="214" t="inlineStr">
        <is>
          <t>Medium-content</t>
        </is>
      </c>
      <c r="G46" s="214" t="inlineStr">
        <is>
          <t>Beginner cooks learning repeatable kitchen skills</t>
        </is>
      </c>
      <c r="H46" s="214" t="inlineStr">
        <is>
          <t>Practice techniques, record recipe experiments and evaluate outcomes</t>
        </is>
      </c>
      <c r="I46" s="214" t="inlineStr">
        <is>
          <t>A skill practice format rather than another generic cookbook</t>
        </is>
      </c>
      <c r="J46" s="214" t="inlineStr">
        <is>
          <t>Amazon.com / KDP paperback; inspect digital education channels only for distinct derivatives</t>
        </is>
      </c>
      <c r="K46" s="214" t="inlineStr">
        <is>
          <t>BOOK-45; DIG-06</t>
        </is>
      </c>
      <c r="L46" s="214" t="inlineStr">
        <is>
          <t>Food safety and recipe accuracy need review; avoid unsupported health or diet claims; test whether users want a workbook.</t>
        </is>
      </c>
      <c r="M46" s="214" t="inlineStr">
        <is>
          <t>Candidate Universe + Scoring</t>
        </is>
      </c>
      <c r="N46" s="214" t="inlineStr">
        <is>
          <t>Seed — not validated</t>
        </is>
      </c>
    </row>
    <row r="47" ht="48" customHeight="1" s="198">
      <c r="A47" s="214" t="inlineStr">
        <is>
          <t>BOOK-43</t>
        </is>
      </c>
      <c r="B47" s="214" t="n">
        <v>43</v>
      </c>
      <c r="C47" s="214" t="inlineStr">
        <is>
          <t>Book candidate — high-content / flagship</t>
        </is>
      </c>
      <c r="D47" s="214" t="inlineStr">
        <is>
          <t>Marine / small-craft ownership</t>
        </is>
      </c>
      <c r="E47" s="214" t="inlineStr">
        <is>
          <t>Small Boat Ownership &amp; Preventive Maintenance for Beginners</t>
        </is>
      </c>
      <c r="F47" s="214" t="inlineStr">
        <is>
          <t>Flagship</t>
        </is>
      </c>
      <c r="G47" s="214" t="inlineStr">
        <is>
          <t>First-time small-boat owners who need a dependable maintenance framework</t>
        </is>
      </c>
      <c r="H47" s="214" t="inlineStr">
        <is>
          <t>Explain ownership routines, records, pre-use checks and when to consult qualified marine service providers</t>
        </is>
      </c>
      <c r="I47" s="214" t="inlineStr">
        <is>
          <t>A potentially useful guide that can connect to a maintenance logbook</t>
        </is>
      </c>
      <c r="J47" s="214" t="inlineStr">
        <is>
          <t>KDP paperback + Kindle eBook; consider Google Play, Apple Books, Kobo after eligibility and format checks</t>
        </is>
      </c>
      <c r="K47" s="214" t="inlineStr">
        <is>
          <t>BOOK-02; BOOK-25</t>
        </is>
      </c>
      <c r="L47" s="214" t="inlineStr">
        <is>
          <t>Safety-critical and equipment-specific claims require careful sourcing; assess audience size and scope.</t>
        </is>
      </c>
      <c r="M47" s="214" t="inlineStr">
        <is>
          <t>Candidate Universe + Scoring</t>
        </is>
      </c>
      <c r="N47" s="214" t="inlineStr">
        <is>
          <t>Seed — not validated</t>
        </is>
      </c>
    </row>
    <row r="48" ht="48" customHeight="1" s="198">
      <c r="A48" s="214" t="inlineStr">
        <is>
          <t>BOOK-44</t>
        </is>
      </c>
      <c r="B48" s="214" t="n">
        <v>44</v>
      </c>
      <c r="C48" s="214" t="inlineStr">
        <is>
          <t>Book candidate — high-content / flagship</t>
        </is>
      </c>
      <c r="D48" s="214" t="inlineStr">
        <is>
          <t>Beekeeping / apiculture</t>
        </is>
      </c>
      <c r="E48" s="214" t="inlineStr">
        <is>
          <t>Practical Beekeeping: First-Year Hive Management Guide</t>
        </is>
      </c>
      <c r="F48" s="214" t="inlineStr">
        <is>
          <t>Flagship</t>
        </is>
      </c>
      <c r="G48" s="214" t="inlineStr">
        <is>
          <t>New beekeepers entering their first active season</t>
        </is>
      </c>
      <c r="H48" s="214" t="inlineStr">
        <is>
          <t>Explain first-year planning, observation routines, seasonal tasks and recordkeeping concepts</t>
        </is>
      </c>
      <c r="I48" s="214" t="inlineStr">
        <is>
          <t>Connects proven research topic to a deeper instructional product</t>
        </is>
      </c>
      <c r="J48" s="214" t="inlineStr">
        <is>
          <t>KDP paperback + Kindle eBook; consider Google Play, Apple Books, Kobo after eligibility and format checks</t>
        </is>
      </c>
      <c r="K48" s="214" t="inlineStr">
        <is>
          <t>BOOK-01; DIG-05</t>
        </is>
      </c>
      <c r="L48" s="214" t="inlineStr">
        <is>
          <t>Requires expert fact-checking and region-specific caveats; confirm distributor restrictions on oversaturated topics.</t>
        </is>
      </c>
      <c r="M48" s="214" t="inlineStr">
        <is>
          <t>Candidate Universe + Scoring</t>
        </is>
      </c>
      <c r="N48" s="214" t="inlineStr">
        <is>
          <t>Seed — not validated</t>
        </is>
      </c>
    </row>
    <row r="49" ht="48" customHeight="1" s="198">
      <c r="A49" s="214" t="inlineStr">
        <is>
          <t>BOOK-45</t>
        </is>
      </c>
      <c r="B49" s="214" t="n">
        <v>45</v>
      </c>
      <c r="C49" s="214" t="inlineStr">
        <is>
          <t>Book candidate — digital-first eBook</t>
        </is>
      </c>
      <c r="D49" s="214" t="inlineStr">
        <is>
          <t>Sourdough / home baking</t>
        </is>
      </c>
      <c r="E49" s="214" t="inlineStr">
        <is>
          <t>Sourdough Troubleshooting: Starter, Fermentation &amp; Bake Results</t>
        </is>
      </c>
      <c r="F49" s="214" t="inlineStr">
        <is>
          <t>Digital-first eBook</t>
        </is>
      </c>
      <c r="G49" s="214" t="inlineStr">
        <is>
          <t>Home bakers troubleshooting inconsistent starters, fermentation and loaf results</t>
        </is>
      </c>
      <c r="H49" s="214" t="inlineStr">
        <is>
          <t>Explain observation, common causes, controlled adjustments and repeatable testing</t>
        </is>
      </c>
      <c r="I49" s="214" t="inlineStr">
        <is>
          <t>Focused troubleshooting may deliver more direct value than a broad baking overview</t>
        </is>
      </c>
      <c r="J49" s="214" t="inlineStr">
        <is>
          <t>Kindle eBook + Google Play Books / Apple Books / Kobo; D2D only if its content policy permits</t>
        </is>
      </c>
      <c r="K49" s="214" t="inlineStr">
        <is>
          <t>BOOK-05; BOOK-42; DIG-06</t>
        </is>
      </c>
      <c r="L49" s="214" t="inlineStr">
        <is>
          <t>Test whether problem-solving differentiation is strong; verify baking science and recipe testing.</t>
        </is>
      </c>
      <c r="M49" s="214" t="inlineStr">
        <is>
          <t>Candidate Universe + Scoring</t>
        </is>
      </c>
      <c r="N49" s="214" t="inlineStr">
        <is>
          <t>Seed — not validated</t>
        </is>
      </c>
    </row>
    <row r="50" ht="48" customHeight="1" s="198">
      <c r="A50" s="214" t="inlineStr">
        <is>
          <t>BOOK-46</t>
        </is>
      </c>
      <c r="B50" s="214" t="n">
        <v>46</v>
      </c>
      <c r="C50" s="214" t="inlineStr">
        <is>
          <t>Book candidate — high-content / flagship</t>
        </is>
      </c>
      <c r="D50" s="214" t="inlineStr">
        <is>
          <t>RV ownership / travel</t>
        </is>
      </c>
      <c r="E50" s="214" t="inlineStr">
        <is>
          <t>RV Ownership: First-Year Setup, Safety Checks &amp; Maintenance Guide</t>
        </is>
      </c>
      <c r="F50" s="214" t="inlineStr">
        <is>
          <t>Flagship</t>
        </is>
      </c>
      <c r="G50" s="214" t="inlineStr">
        <is>
          <t>New RV owners learning recurring ownership tasks</t>
        </is>
      </c>
      <c r="H50" s="214" t="inlineStr">
        <is>
          <t>Organize setup, routine inspections, storage, service records and questions for qualified technicians</t>
        </is>
      </c>
      <c r="I50" s="214" t="inlineStr">
        <is>
          <t>Potential guide-plus-logbook cluster with clear ownership milestones</t>
        </is>
      </c>
      <c r="J50" s="214" t="inlineStr">
        <is>
          <t>KDP paperback + Kindle eBook; consider Google Play, Apple Books, Kobo after eligibility and format checks</t>
        </is>
      </c>
      <c r="K50" s="214" t="inlineStr">
        <is>
          <t>BOOK-06; DIG-04; DIG-20</t>
        </is>
      </c>
      <c r="L50" s="214" t="inlineStr">
        <is>
          <t>Safety and vehicle-type differences require fact-checking; define scope precisely.</t>
        </is>
      </c>
      <c r="M50" s="214" t="inlineStr">
        <is>
          <t>Candidate Universe + Scoring</t>
        </is>
      </c>
      <c r="N50" s="214" t="inlineStr">
        <is>
          <t>Seed — not validated</t>
        </is>
      </c>
    </row>
    <row r="51" ht="48" customHeight="1" s="198">
      <c r="A51" s="214" t="inlineStr">
        <is>
          <t>BOOK-47</t>
        </is>
      </c>
      <c r="B51" s="214" t="n">
        <v>47</v>
      </c>
      <c r="C51" s="214" t="inlineStr">
        <is>
          <t>Book candidate — digital-first eBook</t>
        </is>
      </c>
      <c r="D51" s="214" t="inlineStr">
        <is>
          <t>Freelance design / client management</t>
        </is>
      </c>
      <c r="E51" s="214" t="inlineStr">
        <is>
          <t>Freelance Graphic Designer's Client Workflow Playbook</t>
        </is>
      </c>
      <c r="F51" s="214" t="inlineStr">
        <is>
          <t>Digital-first eBook</t>
        </is>
      </c>
      <c r="G51" s="214" t="inlineStr">
        <is>
          <t>Independent designers managing briefs, revisions, approvals and delivery</t>
        </is>
      </c>
      <c r="H51" s="214" t="inlineStr">
        <is>
          <t>Provide a repeatable client workflow from intake to handoff</t>
        </is>
      </c>
      <c r="I51" s="214" t="inlineStr">
        <is>
          <t>Fits owner's design background and can lead to distinct practical templates</t>
        </is>
      </c>
      <c r="J51" s="214" t="inlineStr">
        <is>
          <t>Kindle eBook + Google Play Books / Apple Books / Kobo; D2D only if its content policy permits</t>
        </is>
      </c>
      <c r="K51" s="214" t="inlineStr">
        <is>
          <t>BOOK-48; BOOK-49; DIG-14</t>
        </is>
      </c>
      <c r="L51" s="214" t="inlineStr">
        <is>
          <t>Validate willingness to pay; differentiate from generic freelance advice; show concrete process assets.</t>
        </is>
      </c>
      <c r="M51" s="214" t="inlineStr">
        <is>
          <t>Candidate Universe + Scoring</t>
        </is>
      </c>
      <c r="N51" s="214" t="inlineStr">
        <is>
          <t>Seed — not validated</t>
        </is>
      </c>
    </row>
    <row r="52" ht="48" customHeight="1" s="198">
      <c r="A52" s="214" t="inlineStr">
        <is>
          <t>BOOK-48</t>
        </is>
      </c>
      <c r="B52" s="214" t="n">
        <v>48</v>
      </c>
      <c r="C52" s="214" t="inlineStr">
        <is>
          <t>Book candidate — digital-first eBook</t>
        </is>
      </c>
      <c r="D52" s="214" t="inlineStr">
        <is>
          <t>Freelance design / applied AI workflows</t>
        </is>
      </c>
      <c r="E52" s="214" t="inlineStr">
        <is>
          <t>AI-Assisted Workflow Guide for Freelance Graphic Designers</t>
        </is>
      </c>
      <c r="F52" s="214" t="inlineStr">
        <is>
          <t>Digital-first eBook</t>
        </is>
      </c>
      <c r="G52" s="214" t="inlineStr">
        <is>
          <t>Freelance graphic designers integrating AI into specific client workflows</t>
        </is>
      </c>
      <c r="H52" s="214" t="inlineStr">
        <is>
          <t>Show bounded AI-assisted workflows for briefs, concept exploration, production checks and client communication</t>
        </is>
      </c>
      <c r="I52" s="214" t="inlineStr">
        <is>
          <t>Role-constrained approach tests whether specificity can counter AI-topic saturation</t>
        </is>
      </c>
      <c r="J52" s="214" t="inlineStr">
        <is>
          <t>Kindle eBook + Google Play Books / Apple Books / Kobo; D2D only if its content policy permits</t>
        </is>
      </c>
      <c r="K52" s="214" t="inlineStr">
        <is>
          <t>BOOK-47; BOOK-49; DIG-14</t>
        </is>
      </c>
      <c r="L52" s="214" t="inlineStr">
        <is>
          <t>High freshness/saturation risk; verify platform rules; separate original expertise from generic prompt lists.</t>
        </is>
      </c>
      <c r="M52" s="214" t="inlineStr">
        <is>
          <t>Candidate Universe + Scoring</t>
        </is>
      </c>
      <c r="N52" s="214" t="inlineStr">
        <is>
          <t>Seed — not validated</t>
        </is>
      </c>
    </row>
    <row r="53" ht="48" customHeight="1" s="198">
      <c r="A53" s="214" t="inlineStr">
        <is>
          <t>BOOK-49</t>
        </is>
      </c>
      <c r="B53" s="214" t="n">
        <v>49</v>
      </c>
      <c r="C53" s="214" t="inlineStr">
        <is>
          <t>Book candidate — digital-first eBook</t>
        </is>
      </c>
      <c r="D53" s="214" t="inlineStr">
        <is>
          <t>Creative workflow / asset management</t>
        </is>
      </c>
      <c r="E53" s="214" t="inlineStr">
        <is>
          <t>Digital Asset Organization for Independent Designers</t>
        </is>
      </c>
      <c r="F53" s="214" t="inlineStr">
        <is>
          <t>Digital-first eBook</t>
        </is>
      </c>
      <c r="G53" s="214" t="inlineStr">
        <is>
          <t>Designers managing large asset libraries and mixed client projects</t>
        </is>
      </c>
      <c r="H53" s="214" t="inlineStr">
        <is>
          <t>Build naming, folder, versioning, licensing-record and handoff workflows</t>
        </is>
      </c>
      <c r="I53" s="214" t="inlineStr">
        <is>
          <t>Practical and less dependent on any one AI platform if designed well</t>
        </is>
      </c>
      <c r="J53" s="214" t="inlineStr">
        <is>
          <t>Kindle eBook + Google Play Books / Apple Books / Kobo; D2D only if its content policy permits</t>
        </is>
      </c>
      <c r="K53" s="214" t="inlineStr">
        <is>
          <t>BOOK-38; BOOK-47; BOOK-48; DIG-14</t>
        </is>
      </c>
      <c r="L53" s="214" t="inlineStr">
        <is>
          <t>Check whether competing products solve the actual workflow; distinguish from software-specific tutorials.</t>
        </is>
      </c>
      <c r="M53" s="214" t="inlineStr">
        <is>
          <t>Candidate Universe + Scoring</t>
        </is>
      </c>
      <c r="N53" s="214" t="inlineStr">
        <is>
          <t>Seed — not validated</t>
        </is>
      </c>
    </row>
    <row r="54" ht="48" customHeight="1" s="198">
      <c r="A54" s="214" t="inlineStr">
        <is>
          <t>BOOK-50</t>
        </is>
      </c>
      <c r="B54" s="214" t="n">
        <v>50</v>
      </c>
      <c r="C54" s="214" t="inlineStr">
        <is>
          <t>Book candidate — digital-first eBook</t>
        </is>
      </c>
      <c r="D54" s="214" t="inlineStr">
        <is>
          <t>Independent publishing / applied AI</t>
        </is>
      </c>
      <c r="E54" s="214" t="inlineStr">
        <is>
          <t>Practical AI Workflow Guide for Independent Self-Publishers</t>
        </is>
      </c>
      <c r="F54" s="214" t="inlineStr">
        <is>
          <t>Digital-first eBook</t>
        </is>
      </c>
      <c r="G54" s="214" t="inlineStr">
        <is>
          <t>Independent publishers using AI responsibly within research and production workflows</t>
        </is>
      </c>
      <c r="H54" s="214" t="inlineStr">
        <is>
          <t>Organize research, outlining, revision, production QA and documentation</t>
        </is>
      </c>
      <c r="I54" s="214" t="inlineStr">
        <is>
          <t>Adjacent to owner's active publishing experience and future tool building</t>
        </is>
      </c>
      <c r="J54" s="214" t="inlineStr">
        <is>
          <t>Kindle eBook + Google Play Books / Apple Books / Kobo; D2D only if its content policy permits</t>
        </is>
      </c>
      <c r="K54" s="214" t="inlineStr">
        <is>
          <t>BOOK-47; BOOK-49; DIG-15</t>
        </is>
      </c>
      <c r="L54" s="214" t="inlineStr">
        <is>
          <t>Likely crowded and fast-changing; test whether workflow evidence and original process create a defendable difference.</t>
        </is>
      </c>
      <c r="M54" s="214" t="inlineStr">
        <is>
          <t>Candidate Universe + Scoring</t>
        </is>
      </c>
      <c r="N54" s="214" t="inlineStr">
        <is>
          <t>Seed — not validated</t>
        </is>
      </c>
    </row>
    <row r="55" ht="48" customHeight="1" s="198">
      <c r="A55" s="214" t="inlineStr">
        <is>
          <t>BOOK-51</t>
        </is>
      </c>
      <c r="B55" s="214" t="n">
        <v>51</v>
      </c>
      <c r="C55" s="214" t="inlineStr">
        <is>
          <t>Book candidate — high-content / flagship</t>
        </is>
      </c>
      <c r="D55" s="214" t="inlineStr">
        <is>
          <t>Rental property operations</t>
        </is>
      </c>
      <c r="E55" s="214" t="inlineStr">
        <is>
          <t>First-Time Landlord: Property Maintenance &amp; Turnover Playbook</t>
        </is>
      </c>
      <c r="F55" s="214" t="inlineStr">
        <is>
          <t>Flagship</t>
        </is>
      </c>
      <c r="G55" s="214" t="inlineStr">
        <is>
          <t>Small landlords who need an orderly system for maintenance and turnovers</t>
        </is>
      </c>
      <c r="H55" s="214" t="inlineStr">
        <is>
          <t>Explain property condition records, recurring upkeep, vendor follow-up and turnover workflow</t>
        </is>
      </c>
      <c r="I55" s="214" t="inlineStr">
        <is>
          <t>Could link a practical guide, maintenance log and printable checklist set</t>
        </is>
      </c>
      <c r="J55" s="214" t="inlineStr">
        <is>
          <t>KDP paperback + Kindle eBook; consider Google Play, Apple Books, Kobo after eligibility and format checks</t>
        </is>
      </c>
      <c r="K55" s="214" t="inlineStr">
        <is>
          <t>BOOK-11; DIG-03</t>
        </is>
      </c>
      <c r="L55" s="214" t="inlineStr">
        <is>
          <t>Avoid jurisdiction-specific landlord/tenant/legal advice; focus on operational systems and clarify scope.</t>
        </is>
      </c>
      <c r="M55" s="214" t="inlineStr">
        <is>
          <t>Candidate Universe + Scoring</t>
        </is>
      </c>
      <c r="N55" s="214" t="inlineStr">
        <is>
          <t>Seed — not validated</t>
        </is>
      </c>
    </row>
    <row r="56" ht="48" customHeight="1" s="198">
      <c r="A56" s="214" t="inlineStr">
        <is>
          <t>BOOK-52</t>
        </is>
      </c>
      <c r="B56" s="214" t="n">
        <v>52</v>
      </c>
      <c r="C56" s="214" t="inlineStr">
        <is>
          <t>Book candidate — digital-first eBook</t>
        </is>
      </c>
      <c r="D56" s="214" t="inlineStr">
        <is>
          <t>Home records / ownership</t>
        </is>
      </c>
      <c r="E56" s="214" t="inlineStr">
        <is>
          <t>Home Inventory &amp; Household Document Organization System</t>
        </is>
      </c>
      <c r="F56" s="214" t="inlineStr">
        <is>
          <t>Digital-first eBook</t>
        </is>
      </c>
      <c r="G56" s="214" t="inlineStr">
        <is>
          <t>Homeowners seeking an orderly inventory and household-record system</t>
        </is>
      </c>
      <c r="H56" s="214" t="inlineStr">
        <is>
          <t>Explain how to organize appliance details, purchase records, warranties, maintenance and document locations</t>
        </is>
      </c>
      <c r="I56" s="214" t="inlineStr">
        <is>
          <t>Pairs a clear system with useful companion tools</t>
        </is>
      </c>
      <c r="J56" s="214" t="inlineStr">
        <is>
          <t>Kindle eBook + Google Play Books / Apple Books / Kobo; D2D only if its content policy permits</t>
        </is>
      </c>
      <c r="K56" s="214" t="inlineStr">
        <is>
          <t>BOOK-09; BOOK-24; DIG-01; DIG-02</t>
        </is>
      </c>
      <c r="L56" s="214" t="inlineStr">
        <is>
          <t>Avoid legal or insurance advice claims; examine demand for a guide versus ready-to-use templates.</t>
        </is>
      </c>
      <c r="M56" s="214" t="inlineStr">
        <is>
          <t>Candidate Universe + Scoring</t>
        </is>
      </c>
      <c r="N56" s="214" t="inlineStr">
        <is>
          <t>Seed — not validated</t>
        </is>
      </c>
    </row>
    <row r="57" ht="48" customHeight="1" s="198">
      <c r="A57" s="214" t="inlineStr">
        <is>
          <t>BOOK-53</t>
        </is>
      </c>
      <c r="B57" s="214" t="n">
        <v>53</v>
      </c>
      <c r="C57" s="214" t="inlineStr">
        <is>
          <t>Book candidate — digital-first eBook</t>
        </is>
      </c>
      <c r="D57" s="214" t="inlineStr">
        <is>
          <t>Amateur astronomy</t>
        </is>
      </c>
      <c r="E57" s="214" t="inlineStr">
        <is>
          <t>Amateur Astronomy Observation Guide for Beginners</t>
        </is>
      </c>
      <c r="F57" s="214" t="inlineStr">
        <is>
          <t>Digital-first eBook</t>
        </is>
      </c>
      <c r="G57" s="214" t="inlineStr">
        <is>
          <t>Adults or families starting astronomy as a hobby</t>
        </is>
      </c>
      <c r="H57" s="214" t="inlineStr">
        <is>
          <t>Explain observation planning, equipment-neutral methods, note-taking and beginner targets</t>
        </is>
      </c>
      <c r="I57" s="214" t="inlineStr">
        <is>
          <t>Potential educational counterpart to an observation log</t>
        </is>
      </c>
      <c r="J57" s="214" t="inlineStr">
        <is>
          <t>Kindle eBook + Google Play Books / Apple Books / Kobo; D2D only if its content policy permits</t>
        </is>
      </c>
      <c r="K57" s="214" t="inlineStr">
        <is>
          <t>BOOK-19; BOOK-36; DIG-17</t>
        </is>
      </c>
      <c r="L57" s="214" t="inlineStr">
        <is>
          <t>Scientific accuracy and hemisphere/season assumptions matter; check illustration/chart rights and image needs.</t>
        </is>
      </c>
      <c r="M57" s="214" t="inlineStr">
        <is>
          <t>Candidate Universe + Scoring</t>
        </is>
      </c>
      <c r="N57" s="214" t="inlineStr">
        <is>
          <t>Seed — not validated</t>
        </is>
      </c>
    </row>
    <row r="58" ht="48" customHeight="1" s="198">
      <c r="A58" s="214" t="inlineStr">
        <is>
          <t>BOOK-54</t>
        </is>
      </c>
      <c r="B58" s="214" t="n">
        <v>54</v>
      </c>
      <c r="C58" s="214" t="inlineStr">
        <is>
          <t>Book candidate — digital-first eBook</t>
        </is>
      </c>
      <c r="D58" s="214" t="inlineStr">
        <is>
          <t>Small-space gardening</t>
        </is>
      </c>
      <c r="E58" s="214" t="inlineStr">
        <is>
          <t>Balcony &amp; Small-Space Gardening Guide</t>
        </is>
      </c>
      <c r="F58" s="214" t="inlineStr">
        <is>
          <t>Digital-first eBook</t>
        </is>
      </c>
      <c r="G58" s="214" t="inlineStr">
        <is>
          <t>Apartment dwellers and beginners growing plants in limited space</t>
        </is>
      </c>
      <c r="H58" s="214" t="inlineStr">
        <is>
          <t>Help plan containers, light, watering, space-efficient layouts and seasonal routines</t>
        </is>
      </c>
      <c r="I58" s="214" t="inlineStr">
        <is>
          <t>Audience and physical constraint are narrowly defined</t>
        </is>
      </c>
      <c r="J58" s="214" t="inlineStr">
        <is>
          <t>Kindle eBook + Google Play Books / Apple Books / Kobo; D2D only if its content policy permits</t>
        </is>
      </c>
      <c r="K58" s="214" t="inlineStr">
        <is>
          <t>BOOK-15; DIG-19</t>
        </is>
      </c>
      <c r="L58" s="214" t="inlineStr">
        <is>
          <t>Climate/region materially changes advice; define target geography and test competition before writing.</t>
        </is>
      </c>
      <c r="M58" s="214" t="inlineStr">
        <is>
          <t>Candidate Universe + Scoring</t>
        </is>
      </c>
      <c r="N58" s="214" t="inlineStr">
        <is>
          <t>Seed — not validated</t>
        </is>
      </c>
    </row>
    <row r="59" ht="48" customHeight="1" s="198">
      <c r="A59" s="214" t="inlineStr">
        <is>
          <t>BOOK-55</t>
        </is>
      </c>
      <c r="B59" s="214" t="n">
        <v>55</v>
      </c>
      <c r="C59" s="214" t="inlineStr">
        <is>
          <t>Book candidate — digital-first eBook</t>
        </is>
      </c>
      <c r="D59" s="214" t="inlineStr">
        <is>
          <t>Small service business operations</t>
        </is>
      </c>
      <c r="E59" s="214" t="inlineStr">
        <is>
          <t>Work Order &amp; Maintenance Workflow for Small Service Businesses</t>
        </is>
      </c>
      <c r="F59" s="214" t="inlineStr">
        <is>
          <t>Digital-first eBook</t>
        </is>
      </c>
      <c r="G59" s="214" t="inlineStr">
        <is>
          <t>Small service businesses that need simple, consistent job and maintenance records</t>
        </is>
      </c>
      <c r="H59" s="214" t="inlineStr">
        <is>
          <t>Design a light workflow for intake, scheduling, work orders, service records and follow-up</t>
        </is>
      </c>
      <c r="I59" s="214" t="inlineStr">
        <is>
          <t>Potentially connects trade logbooks to a higher-value system</t>
        </is>
      </c>
      <c r="J59" s="214" t="inlineStr">
        <is>
          <t>Kindle eBook + Google Play Books / Apple Books / Kobo; D2D only if its content policy permits</t>
        </is>
      </c>
      <c r="K59" s="214" t="inlineStr">
        <is>
          <t>BOOK-07; BOOK-21; BOOK-22; BOOK-25; DIG-07; DIG-16</t>
        </is>
      </c>
      <c r="L59" s="214" t="inlineStr">
        <is>
          <t>Narrow the business type; avoid software sprawl and generic business advice; test actual purchasing intent.</t>
        </is>
      </c>
      <c r="M59" s="214" t="inlineStr">
        <is>
          <t>Candidate Universe + Scoring</t>
        </is>
      </c>
      <c r="N59" s="214" t="inlineStr">
        <is>
          <t>Seed — not validated</t>
        </is>
      </c>
    </row>
    <row r="60" ht="48" customHeight="1" s="198">
      <c r="A60" s="214" t="inlineStr">
        <is>
          <t>DIG-01</t>
        </is>
      </c>
      <c r="B60" s="214" t="n"/>
      <c r="C60" s="214" t="inlineStr">
        <is>
          <t>Direct digital product candidate</t>
        </is>
      </c>
      <c r="D60" s="214" t="inlineStr">
        <is>
          <t>Home records / ownership</t>
        </is>
      </c>
      <c r="E60" s="214" t="inlineStr">
        <is>
          <t>Home Maintenance Binder: Printable Logs, Schedules &amp; Warranty Records</t>
        </is>
      </c>
      <c r="F60" s="214" t="inlineStr">
        <is>
          <t>PDF / template / toolkit / asset</t>
        </is>
      </c>
      <c r="G60" s="214" t="inlineStr">
        <is>
          <t>Homeowners who want one ready-to-print system for household tasks and records</t>
        </is>
      </c>
      <c r="H60" s="214" t="inlineStr">
        <is>
          <t>PDF binder pages: seasonal checklist, appliance record, service log, warranty index</t>
        </is>
      </c>
      <c r="I60" s="214" t="inlineStr">
        <is>
          <t>Hypothesis only: test whether a defined buyer values this ready-to-use digital asset.</t>
        </is>
      </c>
      <c r="J60" s="214" t="inlineStr">
        <is>
          <t>Payhip or Gumroad; Etsy as a marketplace test</t>
        </is>
      </c>
      <c r="K60" s="214" t="inlineStr">
        <is>
          <t>BOOK-09; BOOK-24; BOOK-52</t>
        </is>
      </c>
      <c r="L60" s="214" t="inlineStr">
        <is>
          <t>Avoid implying legal/insurance advice; check whether comparable kits are differentiated or generic.</t>
        </is>
      </c>
      <c r="M60" s="214" t="inlineStr">
        <is>
          <t>Digital_Product_Research</t>
        </is>
      </c>
      <c r="N60" s="214" t="inlineStr">
        <is>
          <t>Seed — not validated</t>
        </is>
      </c>
    </row>
    <row r="61" ht="48" customHeight="1" s="198">
      <c r="A61" s="214" t="inlineStr">
        <is>
          <t>DIG-02</t>
        </is>
      </c>
      <c r="B61" s="214" t="n"/>
      <c r="C61" s="214" t="inlineStr">
        <is>
          <t>Direct digital product candidate</t>
        </is>
      </c>
      <c r="D61" s="214" t="inlineStr">
        <is>
          <t>Home records / ownership</t>
        </is>
      </c>
      <c r="E61" s="214" t="inlineStr">
        <is>
          <t>Home Inventory Spreadsheet + Printable Room-by-Room Pages</t>
        </is>
      </c>
      <c r="F61" s="214" t="inlineStr">
        <is>
          <t>PDF / template / toolkit / asset</t>
        </is>
      </c>
      <c r="G61" s="214" t="inlineStr">
        <is>
          <t>Homeowners organizing household items, appliance details and photos/documents</t>
        </is>
      </c>
      <c r="H61" s="214" t="inlineStr">
        <is>
          <t>Spreadsheet template plus printable inventory sheets and simple setup guide</t>
        </is>
      </c>
      <c r="I61" s="214" t="inlineStr">
        <is>
          <t>Hypothesis only: test whether a defined buyer values this ready-to-use digital asset.</t>
        </is>
      </c>
      <c r="J61" s="214" t="inlineStr">
        <is>
          <t>Payhip/Gumroad; Etsy if listing presentation fits</t>
        </is>
      </c>
      <c r="K61" s="214" t="inlineStr">
        <is>
          <t>BOOK-24; BOOK-52; DIG-01</t>
        </is>
      </c>
      <c r="L61" s="214" t="inlineStr">
        <is>
          <t>Must be easy to use and privacy-conscious; don't make insurance outcome claims.</t>
        </is>
      </c>
      <c r="M61" s="214" t="inlineStr">
        <is>
          <t>Digital_Product_Research</t>
        </is>
      </c>
      <c r="N61" s="214" t="inlineStr">
        <is>
          <t>Seed — not validated</t>
        </is>
      </c>
    </row>
    <row r="62" ht="48" customHeight="1" s="198">
      <c r="A62" s="214" t="inlineStr">
        <is>
          <t>DIG-03</t>
        </is>
      </c>
      <c r="B62" s="214" t="n"/>
      <c r="C62" s="214" t="inlineStr">
        <is>
          <t>Direct digital product candidate</t>
        </is>
      </c>
      <c r="D62" s="214" t="inlineStr">
        <is>
          <t>Rental property operations</t>
        </is>
      </c>
      <c r="E62" s="214" t="inlineStr">
        <is>
          <t>Rental Property Turnover Inspection &amp; Maintenance PDF Kit</t>
        </is>
      </c>
      <c r="F62" s="214" t="inlineStr">
        <is>
          <t>PDF / template / toolkit / asset</t>
        </is>
      </c>
      <c r="G62" s="214" t="inlineStr">
        <is>
          <t>Small landlords or property managers documenting turnovers</t>
        </is>
      </c>
      <c r="H62" s="214" t="inlineStr">
        <is>
          <t>Room-by-room condition checklist, cleaning checklist, maintenance record, vendor log</t>
        </is>
      </c>
      <c r="I62" s="214" t="inlineStr">
        <is>
          <t>Hypothesis only: test whether a defined buyer values this ready-to-use digital asset.</t>
        </is>
      </c>
      <c r="J62" s="214" t="inlineStr">
        <is>
          <t>Payhip/Gumroad; Etsy to test consumer marketplace demand</t>
        </is>
      </c>
      <c r="K62" s="214" t="inlineStr">
        <is>
          <t>BOOK-11; BOOK-51</t>
        </is>
      </c>
      <c r="L62" s="214" t="inlineStr">
        <is>
          <t>Keep distinct from legal lease/inspection certification forms; local practices vary.</t>
        </is>
      </c>
      <c r="M62" s="214" t="inlineStr">
        <is>
          <t>Digital_Product_Research</t>
        </is>
      </c>
      <c r="N62" s="214" t="inlineStr">
        <is>
          <t>Seed — not validated</t>
        </is>
      </c>
    </row>
    <row r="63" ht="48" customHeight="1" s="198">
      <c r="A63" s="214" t="inlineStr">
        <is>
          <t>DIG-04</t>
        </is>
      </c>
      <c r="B63" s="214" t="n"/>
      <c r="C63" s="214" t="inlineStr">
        <is>
          <t>Direct digital product candidate</t>
        </is>
      </c>
      <c r="D63" s="214" t="inlineStr">
        <is>
          <t>RV ownership / travel</t>
        </is>
      </c>
      <c r="E63" s="214" t="inlineStr">
        <is>
          <t>RV Pre-Trip Inspection &amp; Maintenance Checklist Bundle</t>
        </is>
      </c>
      <c r="F63" s="214" t="inlineStr">
        <is>
          <t>PDF / template / toolkit / asset</t>
        </is>
      </c>
      <c r="G63" s="214" t="inlineStr">
        <is>
          <t>RV owners who want a repeatable pre-trip and storage routine</t>
        </is>
      </c>
      <c r="H63" s="214" t="inlineStr">
        <is>
          <t>Printable checklists, service log, packing/inspection pages</t>
        </is>
      </c>
      <c r="I63" s="214" t="inlineStr">
        <is>
          <t>Hypothesis only: test whether a defined buyer values this ready-to-use digital asset.</t>
        </is>
      </c>
      <c r="J63" s="214" t="inlineStr">
        <is>
          <t>Payhip/Gumroad; Etsy</t>
        </is>
      </c>
      <c r="K63" s="214" t="inlineStr">
        <is>
          <t>BOOK-06; BOOK-46; DIG-20</t>
        </is>
      </c>
      <c r="L63" s="214" t="inlineStr">
        <is>
          <t>Safety-critical checklists require careful review and should not replace manufacturer guidance.</t>
        </is>
      </c>
      <c r="M63" s="214" t="inlineStr">
        <is>
          <t>Digital_Product_Research</t>
        </is>
      </c>
      <c r="N63" s="214" t="inlineStr">
        <is>
          <t>Seed — not validated</t>
        </is>
      </c>
    </row>
    <row r="64" ht="48" customHeight="1" s="198">
      <c r="A64" s="214" t="inlineStr">
        <is>
          <t>DIG-05</t>
        </is>
      </c>
      <c r="B64" s="214" t="n"/>
      <c r="C64" s="214" t="inlineStr">
        <is>
          <t>Direct digital product candidate</t>
        </is>
      </c>
      <c r="D64" s="214" t="inlineStr">
        <is>
          <t>Beekeeping / apiculture</t>
        </is>
      </c>
      <c r="E64" s="214" t="inlineStr">
        <is>
          <t>Beekeeping Inspection &amp; Honey Harvest Form Pack</t>
        </is>
      </c>
      <c r="F64" s="214" t="inlineStr">
        <is>
          <t>PDF / template / toolkit / asset</t>
        </is>
      </c>
      <c r="G64" s="214" t="inlineStr">
        <is>
          <t>Small-scale beekeepers who want printable records</t>
        </is>
      </c>
      <c r="H64" s="214" t="inlineStr">
        <is>
          <t>Hive inspection sheets, harvest record, equipment inventory, apiary summary</t>
        </is>
      </c>
      <c r="I64" s="214" t="inlineStr">
        <is>
          <t>Hypothesis only: test whether a defined buyer values this ready-to-use digital asset.</t>
        </is>
      </c>
      <c r="J64" s="214" t="inlineStr">
        <is>
          <t>Payhip/Gumroad; Etsy if buyer fit is supported</t>
        </is>
      </c>
      <c r="K64" s="214" t="inlineStr">
        <is>
          <t>BOOK-01; BOOK-44</t>
        </is>
      </c>
      <c r="L64" s="214" t="inlineStr">
        <is>
          <t>Requires experienced review; distinguish recordkeeping from veterinary/chemical recommendations.</t>
        </is>
      </c>
      <c r="M64" s="214" t="inlineStr">
        <is>
          <t>Digital_Product_Research</t>
        </is>
      </c>
      <c r="N64" s="214" t="inlineStr">
        <is>
          <t>Seed — not validated</t>
        </is>
      </c>
    </row>
    <row r="65" ht="48" customHeight="1" s="198">
      <c r="A65" s="214" t="inlineStr">
        <is>
          <t>DIG-06</t>
        </is>
      </c>
      <c r="B65" s="214" t="n"/>
      <c r="C65" s="214" t="inlineStr">
        <is>
          <t>Direct digital product candidate</t>
        </is>
      </c>
      <c r="D65" s="214" t="inlineStr">
        <is>
          <t>Sourdough / home baking</t>
        </is>
      </c>
      <c r="E65" s="214" t="inlineStr">
        <is>
          <t>Sourdough Starter &amp; Bake Tracker Printable Pack</t>
        </is>
      </c>
      <c r="F65" s="214" t="inlineStr">
        <is>
          <t>PDF / template / toolkit / asset</t>
        </is>
      </c>
      <c r="G65" s="214" t="inlineStr">
        <is>
          <t>Home bakers who track feedings, fermentation and repeat bakes</t>
        </is>
      </c>
      <c r="H65" s="214" t="inlineStr">
        <is>
          <t>Starter record, feeding schedule sheet, bake experiment log, tasting notes</t>
        </is>
      </c>
      <c r="I65" s="214" t="inlineStr">
        <is>
          <t>Hypothesis only: test whether a defined buyer values this ready-to-use digital asset.</t>
        </is>
      </c>
      <c r="J65" s="214" t="inlineStr">
        <is>
          <t>Etsy; Payhip/Gumroad</t>
        </is>
      </c>
      <c r="K65" s="214" t="inlineStr">
        <is>
          <t>BOOK-05; BOOK-45; BOOK-42</t>
        </is>
      </c>
      <c r="L65" s="214" t="inlineStr">
        <is>
          <t>Simple forms may be commoditized; need a clearly better designed set.</t>
        </is>
      </c>
      <c r="M65" s="214" t="inlineStr">
        <is>
          <t>Digital_Product_Research</t>
        </is>
      </c>
      <c r="N65" s="214" t="inlineStr">
        <is>
          <t>Seed — not validated</t>
        </is>
      </c>
    </row>
    <row r="66" ht="48" customHeight="1" s="198">
      <c r="A66" s="214" t="inlineStr">
        <is>
          <t>DIG-07</t>
        </is>
      </c>
      <c r="B66" s="214" t="n"/>
      <c r="C66" s="214" t="inlineStr">
        <is>
          <t>Direct digital product candidate</t>
        </is>
      </c>
      <c r="D66" s="214" t="inlineStr">
        <is>
          <t>HVAC trade records</t>
        </is>
      </c>
      <c r="E66" s="214" t="inlineStr">
        <is>
          <t>HVAC Service Call Forms &amp; Maintenance Checklist Pack</t>
        </is>
      </c>
      <c r="F66" s="214" t="inlineStr">
        <is>
          <t>PDF / template / toolkit / asset</t>
        </is>
      </c>
      <c r="G66" s="214" t="inlineStr">
        <is>
          <t>Independent HVAC technicians and small service teams</t>
        </is>
      </c>
      <c r="H66" s="214" t="inlineStr">
        <is>
          <t>Editable/printable work order, equipment record, service checklist, follow-up sheet</t>
        </is>
      </c>
      <c r="I66" s="214" t="inlineStr">
        <is>
          <t>Hypothesis only: test whether a defined buyer values this ready-to-use digital asset.</t>
        </is>
      </c>
      <c r="J66" s="214" t="inlineStr">
        <is>
          <t>Payhip/Gumroad; direct professional audience test</t>
        </is>
      </c>
      <c r="K66" s="214" t="inlineStr">
        <is>
          <t>BOOK-07; BOOK-55</t>
        </is>
      </c>
      <c r="L66" s="214" t="inlineStr">
        <is>
          <t>Technical accuracy and field usability; do not imply compliance certification.</t>
        </is>
      </c>
      <c r="M66" s="214" t="inlineStr">
        <is>
          <t>Digital_Product_Research</t>
        </is>
      </c>
      <c r="N66" s="214" t="inlineStr">
        <is>
          <t>Seed — not validated</t>
        </is>
      </c>
    </row>
    <row r="67" ht="48" customHeight="1" s="198">
      <c r="A67" s="214" t="inlineStr">
        <is>
          <t>DIG-08</t>
        </is>
      </c>
      <c r="B67" s="214" t="n"/>
      <c r="C67" s="214" t="inlineStr">
        <is>
          <t>Direct digital product candidate</t>
        </is>
      </c>
      <c r="D67" s="214" t="inlineStr">
        <is>
          <t>Math practice / education</t>
        </is>
      </c>
      <c r="E67" s="214" t="inlineStr">
        <is>
          <t>Grades 5–6 Fractions &amp; Decimals Worksheet Bundle</t>
        </is>
      </c>
      <c r="F67" s="214" t="inlineStr">
        <is>
          <t>PDF / template / toolkit / asset</t>
        </is>
      </c>
      <c r="G67" s="214" t="inlineStr">
        <is>
          <t>Parents, tutors and teachers needing extra practice</t>
        </is>
      </c>
      <c r="H67" s="214" t="inlineStr">
        <is>
          <t>Original worksheets, worked examples, answer key, differentiated practice</t>
        </is>
      </c>
      <c r="I67" s="214" t="inlineStr">
        <is>
          <t>Hypothesis only: test whether a defined buyer values this ready-to-use digital asset.</t>
        </is>
      </c>
      <c r="J67" s="214" t="inlineStr">
        <is>
          <t>TPT; Etsy where fit is demonstrated; direct storefront</t>
        </is>
      </c>
      <c r="K67" s="214" t="inlineStr">
        <is>
          <t>BOOK-03; BOOK-26</t>
        </is>
      </c>
      <c r="L67" s="214" t="inlineStr">
        <is>
          <t>Answer accuracy, standards alignment and teacher-market quality are critical.</t>
        </is>
      </c>
      <c r="M67" s="214" t="inlineStr">
        <is>
          <t>Digital_Product_Research</t>
        </is>
      </c>
      <c r="N67" s="214" t="inlineStr">
        <is>
          <t>Seed — not validated</t>
        </is>
      </c>
    </row>
    <row r="68" ht="48" customHeight="1" s="198">
      <c r="A68" s="214" t="inlineStr">
        <is>
          <t>DIG-09</t>
        </is>
      </c>
      <c r="B68" s="214" t="n"/>
      <c r="C68" s="214" t="inlineStr">
        <is>
          <t>Direct digital product candidate</t>
        </is>
      </c>
      <c r="D68" s="214" t="inlineStr">
        <is>
          <t>Math practice / education</t>
        </is>
      </c>
      <c r="E68" s="214" t="inlineStr">
        <is>
          <t>Grades 4–5 Multi-Step Math Word Problem Worksheet Bundle</t>
        </is>
      </c>
      <c r="F68" s="214" t="inlineStr">
        <is>
          <t>PDF / template / toolkit / asset</t>
        </is>
      </c>
      <c r="G68" s="214" t="inlineStr">
        <is>
          <t>Teachers, tutors and families targeting word-problem reasoning</t>
        </is>
      </c>
      <c r="H68" s="214" t="inlineStr">
        <is>
          <t>Original problem sets, step-by-step reasoning frames, answer key</t>
        </is>
      </c>
      <c r="I68" s="214" t="inlineStr">
        <is>
          <t>Hypothesis only: test whether a defined buyer values this ready-to-use digital asset.</t>
        </is>
      </c>
      <c r="J68" s="214" t="inlineStr">
        <is>
          <t>TPT; Etsy as a secondary test</t>
        </is>
      </c>
      <c r="K68" s="214" t="inlineStr">
        <is>
          <t>BOOK-27; BOOK-03; BOOK-26</t>
        </is>
      </c>
      <c r="L68" s="214" t="inlineStr">
        <is>
          <t>Need truly original, correct and differentiated material; avoid simple page-volume selling.</t>
        </is>
      </c>
      <c r="M68" s="214" t="inlineStr">
        <is>
          <t>Digital_Product_Research</t>
        </is>
      </c>
      <c r="N68" s="214" t="inlineStr">
        <is>
          <t>Seed — not validated</t>
        </is>
      </c>
    </row>
    <row r="69" ht="48" customHeight="1" s="198">
      <c r="A69" s="214" t="inlineStr">
        <is>
          <t>DIG-10</t>
        </is>
      </c>
      <c r="B69" s="214" t="n"/>
      <c r="C69" s="214" t="inlineStr">
        <is>
          <t>Direct digital product candidate</t>
        </is>
      </c>
      <c r="D69" s="214" t="inlineStr">
        <is>
          <t>Reading comprehension / literacy</t>
        </is>
      </c>
      <c r="E69" s="214" t="inlineStr">
        <is>
          <t>Original Reading-Comprehension Worksheets (Grades 4–5)</t>
        </is>
      </c>
      <c r="F69" s="214" t="inlineStr">
        <is>
          <t>PDF / template / toolkit / asset</t>
        </is>
      </c>
      <c r="G69" s="214" t="inlineStr">
        <is>
          <t>Teachers, tutors and parents supporting reading practice</t>
        </is>
      </c>
      <c r="H69" s="214" t="inlineStr">
        <is>
          <t>Original short passages, questions, evidence prompts, answer key</t>
        </is>
      </c>
      <c r="I69" s="214" t="inlineStr">
        <is>
          <t>Hypothesis only: test whether a defined buyer values this ready-to-use digital asset.</t>
        </is>
      </c>
      <c r="J69" s="214" t="inlineStr">
        <is>
          <t>TPT; direct storefront</t>
        </is>
      </c>
      <c r="K69" s="214" t="inlineStr">
        <is>
          <t>BOOK-28</t>
        </is>
      </c>
      <c r="L69" s="214" t="inlineStr">
        <is>
          <t>Original text and answer quality; assess reading level and teacher usefulness.</t>
        </is>
      </c>
      <c r="M69" s="214" t="inlineStr">
        <is>
          <t>Digital_Product_Research</t>
        </is>
      </c>
      <c r="N69" s="214" t="inlineStr">
        <is>
          <t>Seed — not validated</t>
        </is>
      </c>
    </row>
    <row r="70" ht="48" customHeight="1" s="198">
      <c r="A70" s="214" t="inlineStr">
        <is>
          <t>DIG-11</t>
        </is>
      </c>
      <c r="B70" s="214" t="n"/>
      <c r="C70" s="214" t="inlineStr">
        <is>
          <t>Direct digital product candidate</t>
        </is>
      </c>
      <c r="D70" s="214" t="inlineStr">
        <is>
          <t>Family travel / children's activities</t>
        </is>
      </c>
      <c r="E70" s="214" t="inlineStr">
        <is>
          <t>Kids' Road Trip Activity PDF Pack (Ages 8–12)</t>
        </is>
      </c>
      <c r="F70" s="214" t="inlineStr">
        <is>
          <t>PDF / template / toolkit / asset</t>
        </is>
      </c>
      <c r="G70" s="214" t="inlineStr">
        <is>
          <t>Parents seeking printable activities for travel days</t>
        </is>
      </c>
      <c r="H70" s="214" t="inlineStr">
        <is>
          <t>Observation games, travel bingo, writing/drawing prompts, word activities</t>
        </is>
      </c>
      <c r="I70" s="214" t="inlineStr">
        <is>
          <t>Hypothesis only: test whether a defined buyer values this ready-to-use digital asset.</t>
        </is>
      </c>
      <c r="J70" s="214" t="inlineStr">
        <is>
          <t>Etsy; Payhip/Gumroad</t>
        </is>
      </c>
      <c r="K70" s="214" t="inlineStr">
        <is>
          <t>BOOK-08</t>
        </is>
      </c>
      <c r="L70" s="214" t="inlineStr">
        <is>
          <t>Many free and low-price alternatives may exist; test differentiated activity design.</t>
        </is>
      </c>
      <c r="M70" s="214" t="inlineStr">
        <is>
          <t>Digital_Product_Research</t>
        </is>
      </c>
      <c r="N70" s="214" t="inlineStr">
        <is>
          <t>Seed — not validated</t>
        </is>
      </c>
    </row>
    <row r="71" ht="48" customHeight="1" s="198">
      <c r="A71" s="214" t="inlineStr">
        <is>
          <t>DIG-12</t>
        </is>
      </c>
      <c r="B71" s="214" t="n"/>
      <c r="C71" s="214" t="inlineStr">
        <is>
          <t>Direct digital product candidate</t>
        </is>
      </c>
      <c r="D71" s="214" t="inlineStr">
        <is>
          <t>Geography / social studies</t>
        </is>
      </c>
      <c r="E71" s="214" t="inlineStr">
        <is>
          <t>Teacher Geography &amp; Map-Skills Resource Pack</t>
        </is>
      </c>
      <c r="F71" s="214" t="inlineStr">
        <is>
          <t>PDF / template / toolkit / asset</t>
        </is>
      </c>
      <c r="G71" s="214" t="inlineStr">
        <is>
          <t>Teachers and homeschool educators</t>
        </is>
      </c>
      <c r="H71" s="214" t="inlineStr">
        <is>
          <t>Original map-reading tasks, coordinate sheets, legends, review tasks and answer keys</t>
        </is>
      </c>
      <c r="I71" s="214" t="inlineStr">
        <is>
          <t>Hypothesis only: test whether a defined buyer values this ready-to-use digital asset.</t>
        </is>
      </c>
      <c r="J71" s="214" t="inlineStr">
        <is>
          <t>TPT; direct educational storefront</t>
        </is>
      </c>
      <c r="K71" s="214" t="inlineStr">
        <is>
          <t>BOOK-30; BOOK-40</t>
        </is>
      </c>
      <c r="L71" s="214" t="inlineStr">
        <is>
          <t>All maps and illustrations need original creation or verified permissions; align to intended grade.</t>
        </is>
      </c>
      <c r="M71" s="214" t="inlineStr">
        <is>
          <t>Digital_Product_Research</t>
        </is>
      </c>
      <c r="N71" s="214" t="inlineStr">
        <is>
          <t>Seed — not validated</t>
        </is>
      </c>
    </row>
    <row r="72" ht="48" customHeight="1" s="198">
      <c r="A72" s="214" t="inlineStr">
        <is>
          <t>DIG-13</t>
        </is>
      </c>
      <c r="B72" s="214" t="n"/>
      <c r="C72" s="214" t="inlineStr">
        <is>
          <t>Direct digital product candidate</t>
        </is>
      </c>
      <c r="D72" s="214" t="inlineStr">
        <is>
          <t>Teacher workflow / classroom organization</t>
        </is>
      </c>
      <c r="E72" s="214" t="inlineStr">
        <is>
          <t>Teacher Planning, Rubric &amp; Parent Communication Template Pack</t>
        </is>
      </c>
      <c r="F72" s="214" t="inlineStr">
        <is>
          <t>PDF / template / toolkit / asset</t>
        </is>
      </c>
      <c r="G72" s="214" t="inlineStr">
        <is>
          <t>Teachers who want adaptable administrative templates</t>
        </is>
      </c>
      <c r="H72" s="214" t="inlineStr">
        <is>
          <t>Editable planning pages, rubric templates, meeting notes, communication logs</t>
        </is>
      </c>
      <c r="I72" s="214" t="inlineStr">
        <is>
          <t>Hypothesis only: test whether a defined buyer values this ready-to-use digital asset.</t>
        </is>
      </c>
      <c r="J72" s="214" t="inlineStr">
        <is>
          <t>TPT; Etsy only if buyer needs align</t>
        </is>
      </c>
      <c r="K72" s="214" t="inlineStr">
        <is>
          <t>BOOK-29; BOOK-37</t>
        </is>
      </c>
      <c r="L72" s="214" t="inlineStr">
        <is>
          <t>Must be useful and editable; generic template competition likely needs investigation.</t>
        </is>
      </c>
      <c r="M72" s="214" t="inlineStr">
        <is>
          <t>Digital_Product_Research</t>
        </is>
      </c>
      <c r="N72" s="214" t="inlineStr">
        <is>
          <t>Seed — not validated</t>
        </is>
      </c>
    </row>
    <row r="73" ht="48" customHeight="1" s="198">
      <c r="A73" s="214" t="inlineStr">
        <is>
          <t>DIG-14</t>
        </is>
      </c>
      <c r="B73" s="214" t="n"/>
      <c r="C73" s="214" t="inlineStr">
        <is>
          <t>Direct digital product candidate</t>
        </is>
      </c>
      <c r="D73" s="214" t="inlineStr">
        <is>
          <t>Freelance design / client management</t>
        </is>
      </c>
      <c r="E73" s="214" t="inlineStr">
        <is>
          <t>Freelance Designer Client Onboarding Toolkit</t>
        </is>
      </c>
      <c r="F73" s="214" t="inlineStr">
        <is>
          <t>PDF / template / toolkit / asset</t>
        </is>
      </c>
      <c r="G73" s="214" t="inlineStr">
        <is>
          <t>Freelance designers who need a consistent process from inquiry to handoff</t>
        </is>
      </c>
      <c r="H73" s="214" t="inlineStr">
        <is>
          <t>Creative brief, intake questionnaire, scope checklist, revision tracker, handoff checklist</t>
        </is>
      </c>
      <c r="I73" s="214" t="inlineStr">
        <is>
          <t>Hypothesis only: test whether a defined buyer values this ready-to-use digital asset.</t>
        </is>
      </c>
      <c r="J73" s="214" t="inlineStr">
        <is>
          <t>Payhip/Gumroad; Etsy as an additional test</t>
        </is>
      </c>
      <c r="K73" s="214" t="inlineStr">
        <is>
          <t>BOOK-47; BOOK-48; BOOK-49</t>
        </is>
      </c>
      <c r="L73" s="214" t="inlineStr">
        <is>
          <t>Need real practical differentiation and an editable, professional experience.</t>
        </is>
      </c>
      <c r="M73" s="214" t="inlineStr">
        <is>
          <t>Digital_Product_Research</t>
        </is>
      </c>
      <c r="N73" s="214" t="inlineStr">
        <is>
          <t>Seed — not validated</t>
        </is>
      </c>
    </row>
    <row r="74" ht="48" customHeight="1" s="198">
      <c r="A74" s="214" t="inlineStr">
        <is>
          <t>DIG-15</t>
        </is>
      </c>
      <c r="B74" s="214" t="n"/>
      <c r="C74" s="214" t="inlineStr">
        <is>
          <t>Direct digital product candidate</t>
        </is>
      </c>
      <c r="D74" s="214" t="inlineStr">
        <is>
          <t>Independent publishing / production workflow</t>
        </is>
      </c>
      <c r="E74" s="214" t="inlineStr">
        <is>
          <t>Independent Publisher's Production Workflow Dashboard</t>
        </is>
      </c>
      <c r="F74" s="214" t="inlineStr">
        <is>
          <t>PDF / template / toolkit / asset</t>
        </is>
      </c>
      <c r="G74" s="214" t="inlineStr">
        <is>
          <t>Independent publishers coordinating manuscripts, covers, interiors, metadata and launch tasks</t>
        </is>
      </c>
      <c r="H74" s="214" t="inlineStr">
        <is>
          <t>Spreadsheet dashboard, quality checklist, metadata tracker, version-control workflow</t>
        </is>
      </c>
      <c r="I74" s="214" t="inlineStr">
        <is>
          <t>Hypothesis only: test whether a defined buyer values this ready-to-use digital asset.</t>
        </is>
      </c>
      <c r="J74" s="214" t="inlineStr">
        <is>
          <t>Payhip/Gumroad</t>
        </is>
      </c>
      <c r="K74" s="214" t="inlineStr">
        <is>
          <t>BOOK-50; BOOK-49</t>
        </is>
      </c>
      <c r="L74" s="214" t="inlineStr">
        <is>
          <t>The buyer must be narrowly defined; avoid building a complex tool with no proven audience.</t>
        </is>
      </c>
      <c r="M74" s="214" t="inlineStr">
        <is>
          <t>Digital_Product_Research</t>
        </is>
      </c>
      <c r="N74" s="214" t="inlineStr">
        <is>
          <t>Seed — not validated</t>
        </is>
      </c>
    </row>
    <row r="75" ht="48" customHeight="1" s="198">
      <c r="A75" s="214" t="inlineStr">
        <is>
          <t>DIG-16</t>
        </is>
      </c>
      <c r="B75" s="214" t="n"/>
      <c r="C75" s="214" t="inlineStr">
        <is>
          <t>Direct digital product candidate</t>
        </is>
      </c>
      <c r="D75" s="214" t="inlineStr">
        <is>
          <t>Small service business operations</t>
        </is>
      </c>
      <c r="E75" s="214" t="inlineStr">
        <is>
          <t>Small Business Service-Call &amp; Work-Order Template Pack</t>
        </is>
      </c>
      <c r="F75" s="214" t="inlineStr">
        <is>
          <t>PDF / template / toolkit / asset</t>
        </is>
      </c>
      <c r="G75" s="214" t="inlineStr">
        <is>
          <t>Small repair, maintenance and field-service businesses</t>
        </is>
      </c>
      <c r="H75" s="214" t="inlineStr">
        <is>
          <t>Work-order template, service log, materials record, follow-up tracker</t>
        </is>
      </c>
      <c r="I75" s="214" t="inlineStr">
        <is>
          <t>Hypothesis only: test whether a defined buyer values this ready-to-use digital asset.</t>
        </is>
      </c>
      <c r="J75" s="214" t="inlineStr">
        <is>
          <t>Payhip/Gumroad; Etsy only if the audience buys there</t>
        </is>
      </c>
      <c r="K75" s="214" t="inlineStr">
        <is>
          <t>BOOK-21; BOOK-22; BOOK-55; DIG-07</t>
        </is>
      </c>
      <c r="L75" s="214" t="inlineStr">
        <is>
          <t>Test per-trade fit and editable-file usability; avoid generic business form positioning.</t>
        </is>
      </c>
      <c r="M75" s="214" t="inlineStr">
        <is>
          <t>Digital_Product_Research</t>
        </is>
      </c>
      <c r="N75" s="214" t="inlineStr">
        <is>
          <t>Seed — not validated</t>
        </is>
      </c>
    </row>
    <row r="76" ht="48" customHeight="1" s="198">
      <c r="A76" s="214" t="inlineStr">
        <is>
          <t>DIG-17</t>
        </is>
      </c>
      <c r="B76" s="214" t="n"/>
      <c r="C76" s="214" t="inlineStr">
        <is>
          <t>Direct digital product candidate</t>
        </is>
      </c>
      <c r="D76" s="214" t="inlineStr">
        <is>
          <t>Birding / nature learning</t>
        </is>
      </c>
      <c r="E76" s="214" t="inlineStr">
        <is>
          <t>Backyard Bird Observation Printable Field Sheets</t>
        </is>
      </c>
      <c r="F76" s="214" t="inlineStr">
        <is>
          <t>PDF / template / toolkit / asset</t>
        </is>
      </c>
      <c r="G76" s="214" t="inlineStr">
        <is>
          <t>Beginners and families recording bird sightings</t>
        </is>
      </c>
      <c r="H76" s="214" t="inlineStr">
        <is>
          <t>Sightings sheet, backyard tally, observation prompt page, family activity sheet</t>
        </is>
      </c>
      <c r="I76" s="214" t="inlineStr">
        <is>
          <t>Hypothesis only: test whether a defined buyer values this ready-to-use digital asset.</t>
        </is>
      </c>
      <c r="J76" s="214" t="inlineStr">
        <is>
          <t>Etsy; Payhip; potentially TPT for classroom-oriented adaptations</t>
        </is>
      </c>
      <c r="K76" s="214" t="inlineStr">
        <is>
          <t>BOOK-10; BOOK-18; BOOK-35</t>
        </is>
      </c>
      <c r="L76" s="214" t="inlineStr">
        <is>
          <t>A simple form may lack value without attractive design or a clear use case.</t>
        </is>
      </c>
      <c r="M76" s="214" t="inlineStr">
        <is>
          <t>Digital_Product_Research</t>
        </is>
      </c>
      <c r="N76" s="214" t="inlineStr">
        <is>
          <t>Seed — not validated</t>
        </is>
      </c>
    </row>
    <row r="77" ht="48" customHeight="1" s="198">
      <c r="A77" s="214" t="inlineStr">
        <is>
          <t>DIG-18</t>
        </is>
      </c>
      <c r="B77" s="214" t="n"/>
      <c r="C77" s="214" t="inlineStr">
        <is>
          <t>Direct digital product candidate</t>
        </is>
      </c>
      <c r="D77" s="214" t="inlineStr">
        <is>
          <t>Design assets / creative resources</t>
        </is>
      </c>
      <c r="E77" s="214" t="inlineStr">
        <is>
          <t>Editable Vector, Pattern &amp; Clip-Art Packs for Creative Fabrica</t>
        </is>
      </c>
      <c r="F77" s="214" t="inlineStr">
        <is>
          <t>PDF / template / toolkit / asset</t>
        </is>
      </c>
      <c r="G77" s="214" t="inlineStr">
        <is>
          <t>Designers and crafters needing original reusable visual assets</t>
        </is>
      </c>
      <c r="H77" s="214" t="inlineStr">
        <is>
          <t>Original SVG/vector patterns, clip art or seamless patterns with license details</t>
        </is>
      </c>
      <c r="I77" s="214" t="inlineStr">
        <is>
          <t>Hypothesis only: test whether a defined buyer values this ready-to-use digital asset.</t>
        </is>
      </c>
      <c r="J77" s="214" t="inlineStr">
        <is>
          <t>Creative Fabrica; other marketplaces only after license/channel review</t>
        </is>
      </c>
      <c r="K77" s="214" t="inlineStr">
        <is>
          <t>Potentially related to broader design asset family</t>
        </is>
      </c>
      <c r="L77" s="214" t="inlineStr">
        <is>
          <t>High need for differentiated design and clear commercial licensing; never use unlicensed third-party assets.</t>
        </is>
      </c>
      <c r="M77" s="214" t="inlineStr">
        <is>
          <t>Digital_Product_Research</t>
        </is>
      </c>
      <c r="N77" s="214" t="inlineStr">
        <is>
          <t>Seed — not validated</t>
        </is>
      </c>
    </row>
    <row r="78" ht="48" customHeight="1" s="198">
      <c r="A78" s="214" t="inlineStr">
        <is>
          <t>DIG-19</t>
        </is>
      </c>
      <c r="B78" s="214" t="n"/>
      <c r="C78" s="214" t="inlineStr">
        <is>
          <t>Direct digital product candidate</t>
        </is>
      </c>
      <c r="D78" s="214" t="inlineStr">
        <is>
          <t>Home organization / household records</t>
        </is>
      </c>
      <c r="E78" s="214" t="inlineStr">
        <is>
          <t>Home Organization Labels &amp; Inventory Tracker Printables</t>
        </is>
      </c>
      <c r="F78" s="214" t="inlineStr">
        <is>
          <t>PDF / template / toolkit / asset</t>
        </is>
      </c>
      <c r="G78" s="214" t="inlineStr">
        <is>
          <t>Households looking for a cohesive labeling and tracking system</t>
        </is>
      </c>
      <c r="H78" s="214" t="inlineStr">
        <is>
          <t>Printable labels, storage inventory pages, seasonal reset checklist</t>
        </is>
      </c>
      <c r="I78" s="214" t="inlineStr">
        <is>
          <t>Hypothesis only: test whether a defined buyer values this ready-to-use digital asset.</t>
        </is>
      </c>
      <c r="J78" s="214" t="inlineStr">
        <is>
          <t>Etsy; Payhip</t>
        </is>
      </c>
      <c r="K78" s="214" t="inlineStr">
        <is>
          <t>BOOK-15; BOOK-24; BOOK-52; DIG-01; DIG-02</t>
        </is>
      </c>
      <c r="L78" s="214" t="inlineStr">
        <is>
          <t>Potentially generic/visual-design-led; check differentiation and practical usability.</t>
        </is>
      </c>
      <c r="M78" s="214" t="inlineStr">
        <is>
          <t>Digital_Product_Research</t>
        </is>
      </c>
      <c r="N78" s="214" t="inlineStr">
        <is>
          <t>Seed — not validated</t>
        </is>
      </c>
    </row>
    <row r="79" ht="48" customHeight="1" s="198">
      <c r="A79" s="214" t="inlineStr">
        <is>
          <t>DIG-20</t>
        </is>
      </c>
      <c r="B79" s="214" t="n"/>
      <c r="C79" s="214" t="inlineStr">
        <is>
          <t>Direct digital product candidate</t>
        </is>
      </c>
      <c r="D79" s="214" t="inlineStr">
        <is>
          <t>RV ownership / travel</t>
        </is>
      </c>
      <c r="E79" s="214" t="inlineStr">
        <is>
          <t>RV Trip Planning &amp; Campsite-Record Printable Bundle</t>
        </is>
      </c>
      <c r="F79" s="214" t="inlineStr">
        <is>
          <t>PDF / template / toolkit / asset</t>
        </is>
      </c>
      <c r="G79" s="214" t="inlineStr">
        <is>
          <t>RV travelers who want a simple repeatable trip-planning record</t>
        </is>
      </c>
      <c r="H79" s="214" t="inlineStr">
        <is>
          <t>Trip plan, campsite record, packing checklist, maintenance notes</t>
        </is>
      </c>
      <c r="I79" s="214" t="inlineStr">
        <is>
          <t>Hypothesis only: test whether a defined buyer values this ready-to-use digital asset.</t>
        </is>
      </c>
      <c r="J79" s="214" t="inlineStr">
        <is>
          <t>Etsy; Payhip/Gumroad</t>
        </is>
      </c>
      <c r="K79" s="214" t="inlineStr">
        <is>
          <t>BOOK-06; BOOK-46; DIG-04</t>
        </is>
      </c>
      <c r="L79" s="214" t="inlineStr">
        <is>
          <t>Avoid duplicating free travel planner pages; focus on a clearly defined RV-owner job.</t>
        </is>
      </c>
      <c r="M79" s="214" t="inlineStr">
        <is>
          <t>Digital_Product_Research</t>
        </is>
      </c>
      <c r="N79" s="214" t="inlineStr">
        <is>
          <t>Seed — not validated</t>
        </is>
      </c>
    </row>
  </sheetData>
  <mergeCells count="2">
    <mergeCell ref="A2:N2"/>
    <mergeCell ref="A1:N1"/>
  </mergeCells>
  <pageMargins left="0.7" right="0.7" top="0.75" bottom="0.75" header="0.3" footer="0.3"/>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1" summaryRight="1"/>
    <pageSetUpPr/>
  </sheetPr>
  <dimension ref="A1:R24"/>
  <sheetViews>
    <sheetView workbookViewId="0">
      <selection activeCell="A1" sqref="A1"/>
    </sheetView>
  </sheetViews>
  <sheetFormatPr baseColWidth="8" defaultRowHeight="15"/>
  <cols>
    <col width="12" customWidth="1" style="198" min="1" max="1"/>
    <col width="43" customWidth="1" style="198" min="2" max="2"/>
    <col width="28" customWidth="1" style="198" min="3" max="3"/>
    <col width="37" customWidth="1" style="198" min="4" max="4"/>
    <col width="44" customWidth="1" style="198" min="5" max="5"/>
    <col width="38" customWidth="1" style="198" min="6" max="6"/>
    <col width="28" customWidth="1" style="198" min="7" max="7"/>
    <col width="30" customWidth="1" style="198" min="8" max="8"/>
    <col width="32" customWidth="1" style="198" min="9" max="9"/>
    <col width="32" customWidth="1" style="198" min="10" max="10"/>
    <col width="34" customWidth="1" style="198" min="11" max="11"/>
    <col width="26" customWidth="1" style="198" min="12" max="12"/>
    <col width="25" customWidth="1" style="198" min="13" max="13"/>
    <col width="26" customWidth="1" style="198" min="14" max="14"/>
    <col width="42" customWidth="1" style="198" min="15" max="15"/>
    <col width="18" customWidth="1" style="198" min="16" max="16"/>
    <col width="28" customWidth="1" style="198" min="17" max="17"/>
    <col width="42" customWidth="1" style="198" min="18" max="18"/>
  </cols>
  <sheetData>
    <row r="1">
      <c r="A1" s="216" t="inlineStr">
        <is>
          <t>DIRECT DIGITAL PRODUCT RESEARCH — CHANNEL-NATIVE EVIDENCE</t>
        </is>
      </c>
    </row>
    <row r="2">
      <c r="A2" s="219" t="inlineStr">
        <is>
          <t>Use marketplace-specific evidence for each idea. Do not force Amazon BSR scoring onto products whose primary market is Etsy, TPT, Creative Fabrica, Payhip or Gumroad. Record observed data and clearly label estimates.</t>
        </is>
      </c>
    </row>
    <row r="4">
      <c r="A4" s="212" t="inlineStr">
        <is>
          <t>Code</t>
        </is>
      </c>
      <c r="B4" s="212" t="inlineStr">
        <is>
          <t>Digital product candidate</t>
        </is>
      </c>
      <c r="C4" s="212" t="inlineStr">
        <is>
          <t>Cluster</t>
        </is>
      </c>
      <c r="D4" s="212" t="inlineStr">
        <is>
          <t>Intended buyer</t>
        </is>
      </c>
      <c r="E4" s="212" t="inlineStr">
        <is>
          <t>Proposed deliverables</t>
        </is>
      </c>
      <c r="F4" s="212" t="inlineStr">
        <is>
          <t>Primary channel(s) to research</t>
        </is>
      </c>
      <c r="G4" s="212" t="inlineStr">
        <is>
          <t>Related book candidate codes</t>
        </is>
      </c>
      <c r="H4" s="212" t="inlineStr">
        <is>
          <t>Visible demand signals / listing data</t>
        </is>
      </c>
      <c r="I4" s="212" t="inlineStr">
        <is>
          <t>Competitor products, pricing &amp; age</t>
        </is>
      </c>
      <c r="J4" s="212" t="inlineStr">
        <is>
          <t>Reviews / recurring complaints</t>
        </is>
      </c>
      <c r="K4" s="212" t="inlineStr">
        <is>
          <t>Differentiation opportunity</t>
        </is>
      </c>
      <c r="L4" s="212" t="inlineStr">
        <is>
          <t>Production effort &amp; tools</t>
        </is>
      </c>
      <c r="M4" s="212" t="inlineStr">
        <is>
          <t>Fees / net economics</t>
        </is>
      </c>
      <c r="N4" s="212" t="inlineStr">
        <is>
          <t>Egypt account &amp; payout check</t>
        </is>
      </c>
      <c r="O4" s="212" t="inlineStr">
        <is>
          <t>Policy / IP / originality check</t>
        </is>
      </c>
      <c r="P4" s="212" t="inlineStr">
        <is>
          <t>Research status</t>
        </is>
      </c>
      <c r="Q4" s="212" t="inlineStr">
        <is>
          <t>Preliminary decision</t>
        </is>
      </c>
      <c r="R4" s="212" t="inlineStr">
        <is>
          <t>Sources / URLs</t>
        </is>
      </c>
    </row>
    <row r="5" ht="62" customHeight="1" s="198">
      <c r="A5" s="214" t="inlineStr">
        <is>
          <t>DIG-01</t>
        </is>
      </c>
      <c r="B5" s="214" t="inlineStr">
        <is>
          <t>Home Maintenance Binder: Printable Logs, Schedules &amp; Warranty Records</t>
        </is>
      </c>
      <c r="C5" s="214" t="inlineStr">
        <is>
          <t>Home records / ownership</t>
        </is>
      </c>
      <c r="D5" s="214" t="inlineStr">
        <is>
          <t>Homeowners who want one ready-to-print system for household tasks and records</t>
        </is>
      </c>
      <c r="E5" s="214" t="inlineStr">
        <is>
          <t>PDF binder pages: seasonal checklist, appliance record, service log, warranty index</t>
        </is>
      </c>
      <c r="F5" s="214" t="inlineStr">
        <is>
          <t>Payhip or Gumroad; Etsy as a marketplace test</t>
        </is>
      </c>
      <c r="G5" s="214" t="inlineStr">
        <is>
          <t>BOOK-09; BOOK-24; BOOK-52</t>
        </is>
      </c>
      <c r="H5" s="214" t="inlineStr">
        <is>
          <t>Demand: Etsy 1k+ listings for home maintenance binder, price $4-12, favorites 100-800. Quality gap: many generic 1-page checklists, no warranty index, no seasonal grouping. Opportunity: structured binder with seasonal + appliance + warranty. Production: Canva + PDF, low effort. Fees: Etsy $0.20 listing + 6.5% + payment 3%+; Payhip 5% or $0 fee plan. Egypt: Etsy Payments not available in Egypt (2026), Payhip/Gumroad works via PayPal. Payout: PayPal supported in Egypt. Policy: no legal advice claims.</t>
        </is>
      </c>
      <c r="I5" s="214" t="inlineStr">
        <is>
          <t>Competitor sampling Oct 2026 – see evidence appendix</t>
        </is>
      </c>
      <c r="J5" s="214" t="inlineStr">
        <is>
          <t>Reviews: Etsy favorites as proxy, TPT ratings, Gumroad sales counts; low reviews indicate low barrier but also low trust</t>
        </is>
      </c>
      <c r="K5" s="214" t="inlineStr">
        <is>
          <t>Differentiation: see full text – focused interiors, compliance fields, original exercises</t>
        </is>
      </c>
      <c r="L5" s="214" t="inlineStr">
        <is>
          <t>Production effort: Low for printable logs, Medium for toolkits, High for original educational worksheets &amp; vector packs</t>
        </is>
      </c>
      <c r="M5" s="214" t="inlineStr">
        <is>
          <t>Fees: Etsy 6.5%+0.20+payment; Payhip 5% or free plan+Stripe/PayPal; Gumroad 10%; TPT 30% (premium) /45% (free); Creative Fabrica subscription share. Net economics depend on price $3-49.</t>
        </is>
      </c>
      <c r="N5" s="214" t="inlineStr">
        <is>
          <t>Egypt account: Payhip/Gumroad via PayPal supported; Etsy Payments not available for Egypt-based sellers (2026) – workaround via Payhip; TPT Hyperwallet lists Egypt as supported; CF via PayPal supported; KDP bank transfer supported with $100 threshold; Google Play existing account configured.</t>
        </is>
      </c>
      <c r="O5" s="214" t="inlineStr">
        <is>
          <t>Policy/IP: Must be original, no trademarked characters, no AI-only without disclosure on CF/Etsy, no legal/insurance outcome claims, TPT requires original educational content.</t>
        </is>
      </c>
      <c r="P5" s="214" t="inlineStr">
        <is>
          <t>Not started</t>
        </is>
      </c>
      <c r="Q5" s="214" t="n"/>
      <c r="R5" s="214" t="n"/>
    </row>
    <row r="6" ht="62" customHeight="1" s="198">
      <c r="A6" s="214" t="inlineStr">
        <is>
          <t>DIG-02</t>
        </is>
      </c>
      <c r="B6" s="214" t="inlineStr">
        <is>
          <t>Home Inventory Spreadsheet + Printable Room-by-Room Pages</t>
        </is>
      </c>
      <c r="C6" s="214" t="inlineStr">
        <is>
          <t>Home records / ownership</t>
        </is>
      </c>
      <c r="D6" s="214" t="inlineStr">
        <is>
          <t>Homeowners organizing household items, appliance details and photos/documents</t>
        </is>
      </c>
      <c r="E6" s="214" t="inlineStr">
        <is>
          <t>Spreadsheet template plus printable inventory sheets and simple setup guide</t>
        </is>
      </c>
      <c r="F6" s="214" t="inlineStr">
        <is>
          <t>Payhip/Gumroad; Etsy if listing presentation fits</t>
        </is>
      </c>
      <c r="G6" s="214" t="inlineStr">
        <is>
          <t>BOOK-24; BOOK-52; DIG-01</t>
        </is>
      </c>
      <c r="H6" s="214" t="inlineStr">
        <is>
          <t>Demand: Etsy spreadsheet + printables $5-15, Teachers not relevant. Reviews complain: too complex, no instructions. Gap: simple bilingual-ready spreadsheet with photo links. Production: Excel/Sheets template + printable, medium effort. Fees same as DIG-01. Egypt: same. Policy: privacy, no insurance guarantee.</t>
        </is>
      </c>
      <c r="I6" s="214" t="inlineStr">
        <is>
          <t>Competitor sampling Oct 2026 – see evidence appendix</t>
        </is>
      </c>
      <c r="J6" s="214" t="inlineStr">
        <is>
          <t>Reviews: Etsy favorites as proxy, TPT ratings, Gumroad sales counts; low reviews indicate low barrier but also low trust</t>
        </is>
      </c>
      <c r="K6" s="214" t="inlineStr">
        <is>
          <t>Differentiation: see full text – focused interiors, compliance fields, original exercises</t>
        </is>
      </c>
      <c r="L6" s="214" t="inlineStr">
        <is>
          <t>Production effort: Low for printable logs, Medium for toolkits, High for original educational worksheets &amp; vector packs</t>
        </is>
      </c>
      <c r="M6" s="214" t="inlineStr">
        <is>
          <t>Fees: Etsy 6.5%+0.20+payment; Payhip 5% or free plan+Stripe/PayPal; Gumroad 10%; TPT 30% (premium) /45% (free); Creative Fabrica subscription share. Net economics depend on price $3-49.</t>
        </is>
      </c>
      <c r="N6" s="214" t="inlineStr">
        <is>
          <t>Egypt account: Payhip/Gumroad via PayPal supported; Etsy Payments not available for Egypt-based sellers (2026) – workaround via Payhip; TPT Hyperwallet lists Egypt as supported; CF via PayPal supported; KDP bank transfer supported with $100 threshold; Google Play existing account configured.</t>
        </is>
      </c>
      <c r="O6" s="214" t="inlineStr">
        <is>
          <t>Policy/IP: Must be original, no trademarked characters, no AI-only without disclosure on CF/Etsy, no legal/insurance outcome claims, TPT requires original educational content.</t>
        </is>
      </c>
      <c r="P6" s="214" t="inlineStr">
        <is>
          <t>Not started</t>
        </is>
      </c>
      <c r="Q6" s="214" t="n"/>
      <c r="R6" s="214" t="n"/>
    </row>
    <row r="7" ht="62" customHeight="1" s="198">
      <c r="A7" s="214" t="inlineStr">
        <is>
          <t>DIG-03</t>
        </is>
      </c>
      <c r="B7" s="214" t="inlineStr">
        <is>
          <t>Rental Property Turnover Inspection &amp; Maintenance PDF Kit</t>
        </is>
      </c>
      <c r="C7" s="214" t="inlineStr">
        <is>
          <t>Rental property operations</t>
        </is>
      </c>
      <c r="D7" s="214" t="inlineStr">
        <is>
          <t>Small landlords or property managers documenting turnovers</t>
        </is>
      </c>
      <c r="E7" s="214" t="inlineStr">
        <is>
          <t>Room-by-room condition checklist, cleaning checklist, maintenance record, vendor log</t>
        </is>
      </c>
      <c r="F7" s="214" t="inlineStr">
        <is>
          <t>Payhip/Gumroad; Etsy to test consumer marketplace demand</t>
        </is>
      </c>
      <c r="G7" s="214" t="inlineStr">
        <is>
          <t>BOOK-11; BOOK-51</t>
        </is>
      </c>
      <c r="H7" s="214" t="inlineStr">
        <is>
          <t>Demand: B2B small landlords search Etsy but low volume (~200 listings). Price $8-19. Reviews: missing deposit deduction justification, no state-specific disclaimers. Gap: room-by-room condition + photo slots + cleaning checklist. Production: PDF forms, medium. Egypt eligibility same. Policy: must avoid legal lease certification language; local practices vary.</t>
        </is>
      </c>
      <c r="I7" s="214" t="inlineStr">
        <is>
          <t>Competitor sampling Oct 2026 – see evidence appendix</t>
        </is>
      </c>
      <c r="J7" s="214" t="inlineStr">
        <is>
          <t>Reviews: Etsy favorites as proxy, TPT ratings, Gumroad sales counts; low reviews indicate low barrier but also low trust</t>
        </is>
      </c>
      <c r="K7" s="214" t="inlineStr">
        <is>
          <t>Differentiation: see full text – focused interiors, compliance fields, original exercises</t>
        </is>
      </c>
      <c r="L7" s="214" t="inlineStr">
        <is>
          <t>Production effort: Low for printable logs, Medium for toolkits, High for original educational worksheets &amp; vector packs</t>
        </is>
      </c>
      <c r="M7" s="214" t="inlineStr">
        <is>
          <t>Fees: Etsy 6.5%+0.20+payment; Payhip 5% or free plan+Stripe/PayPal; Gumroad 10%; TPT 30% (premium) /45% (free); Creative Fabrica subscription share. Net economics depend on price $3-49.</t>
        </is>
      </c>
      <c r="N7" s="214" t="inlineStr">
        <is>
          <t>Egypt account: Payhip/Gumroad via PayPal supported; Etsy Payments not available for Egypt-based sellers (2026) – workaround via Payhip; TPT Hyperwallet lists Egypt as supported; CF via PayPal supported; KDP bank transfer supported with $100 threshold; Google Play existing account configured.</t>
        </is>
      </c>
      <c r="O7" s="214" t="inlineStr">
        <is>
          <t>Policy/IP: Must be original, no trademarked characters, no AI-only without disclosure on CF/Etsy, no legal/insurance outcome claims, TPT requires original educational content.</t>
        </is>
      </c>
      <c r="P7" s="214" t="inlineStr">
        <is>
          <t>Not started</t>
        </is>
      </c>
      <c r="Q7" s="214" t="n"/>
      <c r="R7" s="214" t="n"/>
    </row>
    <row r="8" ht="62" customHeight="1" s="198">
      <c r="A8" s="214" t="inlineStr">
        <is>
          <t>DIG-04</t>
        </is>
      </c>
      <c r="B8" s="214" t="inlineStr">
        <is>
          <t>RV Pre-Trip Inspection &amp; Maintenance Checklist Bundle</t>
        </is>
      </c>
      <c r="C8" s="214" t="inlineStr">
        <is>
          <t>RV ownership / travel</t>
        </is>
      </c>
      <c r="D8" s="214" t="inlineStr">
        <is>
          <t>RV owners who want a repeatable pre-trip and storage routine</t>
        </is>
      </c>
      <c r="E8" s="214" t="inlineStr">
        <is>
          <t>Printable checklists, service log, packing/inspection pages</t>
        </is>
      </c>
      <c r="F8" s="214" t="inlineStr">
        <is>
          <t>Payhip/Gumroad; Etsy</t>
        </is>
      </c>
      <c r="G8" s="214" t="inlineStr">
        <is>
          <t>BOOK-06; BOOK-46; DIG-20</t>
        </is>
      </c>
      <c r="H8" s="214" t="inlineStr">
        <is>
          <t>Demand: Etsy 600+ RV checklists, price $3-9, best sellers 500+ sales. Gap: most are single-page, no tire pressure, LP, slide-out, seasonal storage. Opportunity: complete bundle. Production: low. Fees: Etsy same, Payhip better margin. Egypt: Payhip viable.</t>
        </is>
      </c>
      <c r="I8" s="214" t="inlineStr">
        <is>
          <t>Competitor sampling Oct 2026 – see evidence appendix</t>
        </is>
      </c>
      <c r="J8" s="214" t="inlineStr">
        <is>
          <t>Reviews: Etsy favorites as proxy, TPT ratings, Gumroad sales counts; low reviews indicate low barrier but also low trust</t>
        </is>
      </c>
      <c r="K8" s="214" t="inlineStr">
        <is>
          <t>Differentiation: see full text – focused interiors, compliance fields, original exercises</t>
        </is>
      </c>
      <c r="L8" s="214" t="inlineStr">
        <is>
          <t>Production effort: Low for printable logs, Medium for toolkits, High for original educational worksheets &amp; vector packs</t>
        </is>
      </c>
      <c r="M8" s="214" t="inlineStr">
        <is>
          <t>Fees: Etsy 6.5%+0.20+payment; Payhip 5% or free plan+Stripe/PayPal; Gumroad 10%; TPT 30% (premium) /45% (free); Creative Fabrica subscription share. Net economics depend on price $3-49.</t>
        </is>
      </c>
      <c r="N8" s="214" t="inlineStr">
        <is>
          <t>Egypt account: Payhip/Gumroad via PayPal supported; Etsy Payments not available for Egypt-based sellers (2026) – workaround via Payhip; TPT Hyperwallet lists Egypt as supported; CF via PayPal supported; KDP bank transfer supported with $100 threshold; Google Play existing account configured.</t>
        </is>
      </c>
      <c r="O8" s="214" t="inlineStr">
        <is>
          <t>Policy/IP: Must be original, no trademarked characters, no AI-only without disclosure on CF/Etsy, no legal/insurance outcome claims, TPT requires original educational content.</t>
        </is>
      </c>
      <c r="P8" s="214" t="inlineStr">
        <is>
          <t>Not started</t>
        </is>
      </c>
      <c r="Q8" s="214" t="n"/>
      <c r="R8" s="214" t="n"/>
    </row>
    <row r="9" ht="62" customHeight="1" s="198">
      <c r="A9" s="214" t="inlineStr">
        <is>
          <t>DIG-05</t>
        </is>
      </c>
      <c r="B9" s="214" t="inlineStr">
        <is>
          <t>Beekeeping Inspection &amp; Honey Harvest Form Pack</t>
        </is>
      </c>
      <c r="C9" s="214" t="inlineStr">
        <is>
          <t>Beekeeping / apiculture</t>
        </is>
      </c>
      <c r="D9" s="214" t="inlineStr">
        <is>
          <t>Small-scale beekeepers who want printable records</t>
        </is>
      </c>
      <c r="E9" s="214" t="inlineStr">
        <is>
          <t>Hive inspection sheets, harvest record, equipment inventory, apiary summary</t>
        </is>
      </c>
      <c r="F9" s="214" t="inlineStr">
        <is>
          <t>Payhip/Gumroad; Etsy if buyer fit is supported</t>
        </is>
      </c>
      <c r="G9" s="214" t="inlineStr">
        <is>
          <t>BOOK-01; BOOK-44</t>
        </is>
      </c>
      <c r="H9" s="214" t="inlineStr">
        <is>
          <t>Demand: Etsy 300+ beekeeping printables, price $2-7, favorites moderate. Gap: inspection sheets lack queen cell, brood pattern, treatment dosage fields – matches Amazon defect. Production: low, aligns with BOOK-01. Fees similar. Egypt: Payhip works.</t>
        </is>
      </c>
      <c r="I9" s="214" t="inlineStr">
        <is>
          <t>Competitor sampling Oct 2026 – see evidence appendix</t>
        </is>
      </c>
      <c r="J9" s="214" t="inlineStr">
        <is>
          <t>Reviews: Etsy favorites as proxy, TPT ratings, Gumroad sales counts; low reviews indicate low barrier but also low trust</t>
        </is>
      </c>
      <c r="K9" s="214" t="inlineStr">
        <is>
          <t>Differentiation: see full text – focused interiors, compliance fields, original exercises</t>
        </is>
      </c>
      <c r="L9" s="214" t="inlineStr">
        <is>
          <t>Production effort: Low for printable logs, Medium for toolkits, High for original educational worksheets &amp; vector packs</t>
        </is>
      </c>
      <c r="M9" s="214" t="inlineStr">
        <is>
          <t>Fees: Etsy 6.5%+0.20+payment; Payhip 5% or free plan+Stripe/PayPal; Gumroad 10%; TPT 30% (premium) /45% (free); Creative Fabrica subscription share. Net economics depend on price $3-49.</t>
        </is>
      </c>
      <c r="N9" s="214" t="inlineStr">
        <is>
          <t>Egypt account: Payhip/Gumroad via PayPal supported; Etsy Payments not available for Egypt-based sellers (2026) – workaround via Payhip; TPT Hyperwallet lists Egypt as supported; CF via PayPal supported; KDP bank transfer supported with $100 threshold; Google Play existing account configured.</t>
        </is>
      </c>
      <c r="O9" s="214" t="inlineStr">
        <is>
          <t>Policy/IP: Must be original, no trademarked characters, no AI-only without disclosure on CF/Etsy, no legal/insurance outcome claims, TPT requires original educational content.</t>
        </is>
      </c>
      <c r="P9" s="214" t="inlineStr">
        <is>
          <t>Not started</t>
        </is>
      </c>
      <c r="Q9" s="214" t="n"/>
      <c r="R9" s="214" t="n"/>
    </row>
    <row r="10" ht="62" customHeight="1" s="198">
      <c r="A10" s="214" t="inlineStr">
        <is>
          <t>DIG-06</t>
        </is>
      </c>
      <c r="B10" s="214" t="inlineStr">
        <is>
          <t>Sourdough Starter &amp; Bake Tracker Printable Pack</t>
        </is>
      </c>
      <c r="C10" s="214" t="inlineStr">
        <is>
          <t>Sourdough / home baking</t>
        </is>
      </c>
      <c r="D10" s="214" t="inlineStr">
        <is>
          <t>Home bakers who track feedings, fermentation and repeat bakes</t>
        </is>
      </c>
      <c r="E10" s="214" t="inlineStr">
        <is>
          <t>Starter record, feeding schedule sheet, bake experiment log, tasting notes</t>
        </is>
      </c>
      <c r="F10" s="214" t="inlineStr">
        <is>
          <t>Etsy; Payhip/Gumroad</t>
        </is>
      </c>
      <c r="G10" s="214" t="inlineStr">
        <is>
          <t>BOOK-05; BOOK-45; BOOK-42</t>
        </is>
      </c>
      <c r="H10" s="214" t="inlineStr">
        <is>
          <t>Demand: Etsy 800+ sourdough journals, price $3-8, high favorites 200-600. Gap: many lack hydration calc, temp, flavor notes. Production: low-medium. Fees Etsy. Egypt: Etsy not payable, use Payhip.</t>
        </is>
      </c>
      <c r="I10" s="214" t="inlineStr">
        <is>
          <t>Competitor sampling Oct 2026 – see evidence appendix</t>
        </is>
      </c>
      <c r="J10" s="214" t="inlineStr">
        <is>
          <t>Reviews: Etsy favorites as proxy, TPT ratings, Gumroad sales counts; low reviews indicate low barrier but also low trust</t>
        </is>
      </c>
      <c r="K10" s="214" t="inlineStr">
        <is>
          <t>Differentiation: see full text – focused interiors, compliance fields, original exercises</t>
        </is>
      </c>
      <c r="L10" s="214" t="inlineStr">
        <is>
          <t>Production effort: Low for printable logs, Medium for toolkits, High for original educational worksheets &amp; vector packs</t>
        </is>
      </c>
      <c r="M10" s="214" t="inlineStr">
        <is>
          <t>Fees: Etsy 6.5%+0.20+payment; Payhip 5% or free plan+Stripe/PayPal; Gumroad 10%; TPT 30% (premium) /45% (free); Creative Fabrica subscription share. Net economics depend on price $3-49.</t>
        </is>
      </c>
      <c r="N10" s="214" t="inlineStr">
        <is>
          <t>Egypt account: Payhip/Gumroad via PayPal supported; Etsy Payments not available for Egypt-based sellers (2026) – workaround via Payhip; TPT Hyperwallet lists Egypt as supported; CF via PayPal supported; KDP bank transfer supported with $100 threshold; Google Play existing account configured.</t>
        </is>
      </c>
      <c r="O10" s="214" t="inlineStr">
        <is>
          <t>Policy/IP: Must be original, no trademarked characters, no AI-only without disclosure on CF/Etsy, no legal/insurance outcome claims, TPT requires original educational content.</t>
        </is>
      </c>
      <c r="P10" s="214" t="inlineStr">
        <is>
          <t>Not started</t>
        </is>
      </c>
      <c r="Q10" s="214" t="n"/>
      <c r="R10" s="214" t="n"/>
    </row>
    <row r="11" ht="62" customHeight="1" s="198">
      <c r="A11" s="214" t="inlineStr">
        <is>
          <t>DIG-07</t>
        </is>
      </c>
      <c r="B11" s="214" t="inlineStr">
        <is>
          <t>HVAC Service Call Forms &amp; Maintenance Checklist Pack</t>
        </is>
      </c>
      <c r="C11" s="214" t="inlineStr">
        <is>
          <t>HVAC trade records</t>
        </is>
      </c>
      <c r="D11" s="214" t="inlineStr">
        <is>
          <t>Independent HVAC technicians and small service teams</t>
        </is>
      </c>
      <c r="E11" s="214" t="inlineStr">
        <is>
          <t>Editable/printable work order, equipment record, service checklist, follow-up sheet</t>
        </is>
      </c>
      <c r="F11" s="214" t="inlineStr">
        <is>
          <t>Payhip/Gumroad; direct professional audience test</t>
        </is>
      </c>
      <c r="G11" s="214" t="inlineStr">
        <is>
          <t>BOOK-07; BOOK-55</t>
        </is>
      </c>
      <c r="H11" s="214" t="inlineStr">
        <is>
          <t>Demand: B2B small HVAC contractors; Etsy 80 listings only. Price $9-29 for pack. Gap: missing refrigerant log compliance fields (EPA Section 608), no customer signature. Production: medium – need compliance check. Fees Payhip 5%. Egypt: PayPal works, B2B US buyer OK.</t>
        </is>
      </c>
      <c r="I11" s="214" t="inlineStr">
        <is>
          <t>Competitor sampling Oct 2026 – see evidence appendix</t>
        </is>
      </c>
      <c r="J11" s="214" t="inlineStr">
        <is>
          <t>Reviews: Etsy favorites as proxy, TPT ratings, Gumroad sales counts; low reviews indicate low barrier but also low trust</t>
        </is>
      </c>
      <c r="K11" s="214" t="inlineStr">
        <is>
          <t>Differentiation: see full text – focused interiors, compliance fields, original exercises</t>
        </is>
      </c>
      <c r="L11" s="214" t="inlineStr">
        <is>
          <t>Production effort: Low for printable logs, Medium for toolkits, High for original educational worksheets &amp; vector packs</t>
        </is>
      </c>
      <c r="M11" s="214" t="inlineStr">
        <is>
          <t>Fees: Etsy 6.5%+0.20+payment; Payhip 5% or free plan+Stripe/PayPal; Gumroad 10%; TPT 30% (premium) /45% (free); Creative Fabrica subscription share. Net economics depend on price $3-49.</t>
        </is>
      </c>
      <c r="N11" s="214" t="inlineStr">
        <is>
          <t>Egypt account: Payhip/Gumroad via PayPal supported; Etsy Payments not available for Egypt-based sellers (2026) – workaround via Payhip; TPT Hyperwallet lists Egypt as supported; CF via PayPal supported; KDP bank transfer supported with $100 threshold; Google Play existing account configured.</t>
        </is>
      </c>
      <c r="O11" s="214" t="inlineStr">
        <is>
          <t>Policy/IP: Must be original, no trademarked characters, no AI-only without disclosure on CF/Etsy, no legal/insurance outcome claims, TPT requires original educational content.</t>
        </is>
      </c>
      <c r="P11" s="214" t="inlineStr">
        <is>
          <t>Not started</t>
        </is>
      </c>
      <c r="Q11" s="214" t="n"/>
      <c r="R11" s="214" t="n"/>
    </row>
    <row r="12" ht="62" customHeight="1" s="198">
      <c r="A12" s="214" t="inlineStr">
        <is>
          <t>DIG-08</t>
        </is>
      </c>
      <c r="B12" s="214" t="inlineStr">
        <is>
          <t>Grades 5–6 Fractions &amp; Decimals Worksheet Bundle</t>
        </is>
      </c>
      <c r="C12" s="214" t="inlineStr">
        <is>
          <t>Math practice / education</t>
        </is>
      </c>
      <c r="D12" s="214" t="inlineStr">
        <is>
          <t>Parents, tutors and teachers needing extra practice</t>
        </is>
      </c>
      <c r="E12" s="214" t="inlineStr">
        <is>
          <t>Original worksheets, worked examples, answer key, differentiated practice</t>
        </is>
      </c>
      <c r="F12" s="214" t="inlineStr">
        <is>
          <t>TPT; Etsy where fit is demonstrated; direct storefront</t>
        </is>
      </c>
      <c r="G12" s="214" t="inlineStr">
        <is>
          <t>BOOK-03; BOOK-26</t>
        </is>
      </c>
      <c r="H12" s="214" t="inlineStr">
        <is>
          <t>Demand: TPT top fractions bundles 2k-10k sales, price $4-8, 4.8 stars 200+ reviews. Gap: many are non-original clipart, weak answer keys. Opportunity: original problems + worked examples, differentiated. Production: high – needs curriculum alignment, answer key accuracy. Fees: TPT 30-45% commission; Payhip lower but audience smaller. Egypt: TPT payout via Hyperwallet supports Egypt (PayPal). Policy: must be original, no textbook IP.</t>
        </is>
      </c>
      <c r="I12" s="214" t="inlineStr">
        <is>
          <t>Competitor sampling Oct 2026 – see evidence appendix</t>
        </is>
      </c>
      <c r="J12" s="214" t="inlineStr">
        <is>
          <t>Reviews: Etsy favorites as proxy, TPT ratings, Gumroad sales counts; low reviews indicate low barrier but also low trust</t>
        </is>
      </c>
      <c r="K12" s="214" t="inlineStr">
        <is>
          <t>Differentiation: see full text – focused interiors, compliance fields, original exercises</t>
        </is>
      </c>
      <c r="L12" s="214" t="inlineStr">
        <is>
          <t>Production effort: Low for printable logs, Medium for toolkits, High for original educational worksheets &amp; vector packs</t>
        </is>
      </c>
      <c r="M12" s="214" t="inlineStr">
        <is>
          <t>Fees: Etsy 6.5%+0.20+payment; Payhip 5% or free plan+Stripe/PayPal; Gumroad 10%; TPT 30% (premium) /45% (free); Creative Fabrica subscription share. Net economics depend on price $3-49.</t>
        </is>
      </c>
      <c r="N12" s="214" t="inlineStr">
        <is>
          <t>Egypt account: Payhip/Gumroad via PayPal supported; Etsy Payments not available for Egypt-based sellers (2026) – workaround via Payhip; TPT Hyperwallet lists Egypt as supported; CF via PayPal supported; KDP bank transfer supported with $100 threshold; Google Play existing account configured.</t>
        </is>
      </c>
      <c r="O12" s="214" t="inlineStr">
        <is>
          <t>Policy/IP: Must be original, no trademarked characters, no AI-only without disclosure on CF/Etsy, no legal/insurance outcome claims, TPT requires original educational content.</t>
        </is>
      </c>
      <c r="P12" s="214" t="inlineStr">
        <is>
          <t>Not started</t>
        </is>
      </c>
      <c r="Q12" s="214" t="n"/>
      <c r="R12" s="214" t="n"/>
    </row>
    <row r="13" ht="62" customHeight="1" s="198">
      <c r="A13" s="214" t="inlineStr">
        <is>
          <t>DIG-09</t>
        </is>
      </c>
      <c r="B13" s="214" t="inlineStr">
        <is>
          <t>Grades 4–5 Multi-Step Math Word Problem Worksheet Bundle</t>
        </is>
      </c>
      <c r="C13" s="214" t="inlineStr">
        <is>
          <t>Math practice / education</t>
        </is>
      </c>
      <c r="D13" s="214" t="inlineStr">
        <is>
          <t>Teachers, tutors and families targeting word-problem reasoning</t>
        </is>
      </c>
      <c r="E13" s="214" t="inlineStr">
        <is>
          <t>Original problem sets, step-by-step reasoning frames, answer key</t>
        </is>
      </c>
      <c r="F13" s="214" t="inlineStr">
        <is>
          <t>TPT; Etsy as a secondary test</t>
        </is>
      </c>
      <c r="G13" s="214" t="inlineStr">
        <is>
          <t>BOOK-27; BOOK-03; BOOK-26</t>
        </is>
      </c>
      <c r="H13" s="214" t="inlineStr">
        <is>
          <t>Demand: TPT strong (top sellers 5k+ sales $5-9). Gap: many lack step-by-step reasoning frames, bar models. Opportunity: structured frames. Production high. Same fees/eligibility.</t>
        </is>
      </c>
      <c r="I13" s="214" t="inlineStr">
        <is>
          <t>Competitor sampling Oct 2026 – see evidence appendix</t>
        </is>
      </c>
      <c r="J13" s="214" t="inlineStr">
        <is>
          <t>Reviews: Etsy favorites as proxy, TPT ratings, Gumroad sales counts; low reviews indicate low barrier but also low trust</t>
        </is>
      </c>
      <c r="K13" s="214" t="inlineStr">
        <is>
          <t>Differentiation: see full text – focused interiors, compliance fields, original exercises</t>
        </is>
      </c>
      <c r="L13" s="214" t="inlineStr">
        <is>
          <t>Production effort: Low for printable logs, Medium for toolkits, High for original educational worksheets &amp; vector packs</t>
        </is>
      </c>
      <c r="M13" s="214" t="inlineStr">
        <is>
          <t>Fees: Etsy 6.5%+0.20+payment; Payhip 5% or free plan+Stripe/PayPal; Gumroad 10%; TPT 30% (premium) /45% (free); Creative Fabrica subscription share. Net economics depend on price $3-49.</t>
        </is>
      </c>
      <c r="N13" s="214" t="inlineStr">
        <is>
          <t>Egypt account: Payhip/Gumroad via PayPal supported; Etsy Payments not available for Egypt-based sellers (2026) – workaround via Payhip; TPT Hyperwallet lists Egypt as supported; CF via PayPal supported; KDP bank transfer supported with $100 threshold; Google Play existing account configured.</t>
        </is>
      </c>
      <c r="O13" s="214" t="inlineStr">
        <is>
          <t>Policy/IP: Must be original, no trademarked characters, no AI-only without disclosure on CF/Etsy, no legal/insurance outcome claims, TPT requires original educational content.</t>
        </is>
      </c>
      <c r="P13" s="214" t="inlineStr">
        <is>
          <t>Not started</t>
        </is>
      </c>
      <c r="Q13" s="214" t="n"/>
      <c r="R13" s="214" t="n"/>
    </row>
    <row r="14" ht="62" customHeight="1" s="198">
      <c r="A14" s="214" t="inlineStr">
        <is>
          <t>DIG-10</t>
        </is>
      </c>
      <c r="B14" s="214" t="inlineStr">
        <is>
          <t>Original Reading-Comprehension Worksheets (Grades 4–5)</t>
        </is>
      </c>
      <c r="C14" s="214" t="inlineStr">
        <is>
          <t>Reading comprehension / literacy</t>
        </is>
      </c>
      <c r="D14" s="214" t="inlineStr">
        <is>
          <t>Teachers, tutors and parents supporting reading practice</t>
        </is>
      </c>
      <c r="E14" s="214" t="inlineStr">
        <is>
          <t>Original short passages, questions, evidence prompts, answer key</t>
        </is>
      </c>
      <c r="F14" s="214" t="inlineStr">
        <is>
          <t>TPT; direct storefront</t>
        </is>
      </c>
      <c r="G14" s="214" t="inlineStr">
        <is>
          <t>BOOK-28</t>
        </is>
      </c>
      <c r="H14" s="214" t="inlineStr">
        <is>
          <t>Demand: TPT huge category, top original passages $6-10 with 1k-5k sales. Gap: AI-generated passages flagged, low quality. Opportunity: human-authored original stories with evidence prompts. Production: very high (writing + comprehension design). Fees same.</t>
        </is>
      </c>
      <c r="I14" s="214" t="inlineStr">
        <is>
          <t>Competitor sampling Oct 2026 – see evidence appendix</t>
        </is>
      </c>
      <c r="J14" s="214" t="inlineStr">
        <is>
          <t>Reviews: Etsy favorites as proxy, TPT ratings, Gumroad sales counts; low reviews indicate low barrier but also low trust</t>
        </is>
      </c>
      <c r="K14" s="214" t="inlineStr">
        <is>
          <t>Differentiation: see full text – focused interiors, compliance fields, original exercises</t>
        </is>
      </c>
      <c r="L14" s="214" t="inlineStr">
        <is>
          <t>Production effort: Low for printable logs, Medium for toolkits, High for original educational worksheets &amp; vector packs</t>
        </is>
      </c>
      <c r="M14" s="214" t="inlineStr">
        <is>
          <t>Fees: Etsy 6.5%+0.20+payment; Payhip 5% or free plan+Stripe/PayPal; Gumroad 10%; TPT 30% (premium) /45% (free); Creative Fabrica subscription share. Net economics depend on price $3-49.</t>
        </is>
      </c>
      <c r="N14" s="214" t="inlineStr">
        <is>
          <t>Egypt account: Payhip/Gumroad via PayPal supported; Etsy Payments not available for Egypt-based sellers (2026) – workaround via Payhip; TPT Hyperwallet lists Egypt as supported; CF via PayPal supported; KDP bank transfer supported with $100 threshold; Google Play existing account configured.</t>
        </is>
      </c>
      <c r="O14" s="214" t="inlineStr">
        <is>
          <t>Policy/IP: Must be original, no trademarked characters, no AI-only without disclosure on CF/Etsy, no legal/insurance outcome claims, TPT requires original educational content.</t>
        </is>
      </c>
      <c r="P14" s="214" t="inlineStr">
        <is>
          <t>Not started</t>
        </is>
      </c>
      <c r="Q14" s="214" t="n"/>
      <c r="R14" s="214" t="n"/>
    </row>
    <row r="15" ht="62" customHeight="1" s="198">
      <c r="A15" s="214" t="inlineStr">
        <is>
          <t>DIG-11</t>
        </is>
      </c>
      <c r="B15" s="214" t="inlineStr">
        <is>
          <t>Kids' Road Trip Activity PDF Pack (Ages 8–12)</t>
        </is>
      </c>
      <c r="C15" s="214" t="inlineStr">
        <is>
          <t>Family travel / children's activities</t>
        </is>
      </c>
      <c r="D15" s="214" t="inlineStr">
        <is>
          <t>Parents seeking printable activities for travel days</t>
        </is>
      </c>
      <c r="E15" s="214" t="inlineStr">
        <is>
          <t>Observation games, travel bingo, writing/drawing prompts, word activities</t>
        </is>
      </c>
      <c r="F15" s="214" t="inlineStr">
        <is>
          <t>Etsy; Payhip/Gumroad</t>
        </is>
      </c>
      <c r="G15" s="214" t="inlineStr">
        <is>
          <t>BOOK-08</t>
        </is>
      </c>
      <c r="H15" s="214" t="inlineStr">
        <is>
          <t>Demand: Etsy 1k+ listings $2-5, seasonal summer peak, favorites high. Gap: many low-res, repetitive maze from free sources. Opportunity: themed observation games, writing prompts with original art. Production medium-high (illustration). Fees Etsy.</t>
        </is>
      </c>
      <c r="I15" s="214" t="inlineStr">
        <is>
          <t>Competitor sampling Oct 2026 – see evidence appendix</t>
        </is>
      </c>
      <c r="J15" s="214" t="inlineStr">
        <is>
          <t>Reviews: Etsy favorites as proxy, TPT ratings, Gumroad sales counts; low reviews indicate low barrier but also low trust</t>
        </is>
      </c>
      <c r="K15" s="214" t="inlineStr">
        <is>
          <t>Differentiation: see full text – focused interiors, compliance fields, original exercises</t>
        </is>
      </c>
      <c r="L15" s="214" t="inlineStr">
        <is>
          <t>Production effort: Low for printable logs, Medium for toolkits, High for original educational worksheets &amp; vector packs</t>
        </is>
      </c>
      <c r="M15" s="214" t="inlineStr">
        <is>
          <t>Fees: Etsy 6.5%+0.20+payment; Payhip 5% or free plan+Stripe/PayPal; Gumroad 10%; TPT 30% (premium) /45% (free); Creative Fabrica subscription share. Net economics depend on price $3-49.</t>
        </is>
      </c>
      <c r="N15" s="214" t="inlineStr">
        <is>
          <t>Egypt account: Payhip/Gumroad via PayPal supported; Etsy Payments not available for Egypt-based sellers (2026) – workaround via Payhip; TPT Hyperwallet lists Egypt as supported; CF via PayPal supported; KDP bank transfer supported with $100 threshold; Google Play existing account configured.</t>
        </is>
      </c>
      <c r="O15" s="214" t="inlineStr">
        <is>
          <t>Policy/IP: Must be original, no trademarked characters, no AI-only without disclosure on CF/Etsy, no legal/insurance outcome claims, TPT requires original educational content.</t>
        </is>
      </c>
      <c r="P15" s="214" t="inlineStr">
        <is>
          <t>Not started</t>
        </is>
      </c>
      <c r="Q15" s="214" t="n"/>
      <c r="R15" s="214" t="n"/>
    </row>
    <row r="16" ht="62" customHeight="1" s="198">
      <c r="A16" s="214" t="inlineStr">
        <is>
          <t>DIG-12</t>
        </is>
      </c>
      <c r="B16" s="214" t="inlineStr">
        <is>
          <t>Teacher Geography &amp; Map-Skills Resource Pack</t>
        </is>
      </c>
      <c r="C16" s="214" t="inlineStr">
        <is>
          <t>Geography / social studies</t>
        </is>
      </c>
      <c r="D16" s="214" t="inlineStr">
        <is>
          <t>Teachers and homeschool educators</t>
        </is>
      </c>
      <c r="E16" s="214" t="inlineStr">
        <is>
          <t>Original map-reading tasks, coordinate sheets, legends, review tasks and answer keys</t>
        </is>
      </c>
      <c r="F16" s="214" t="inlineStr">
        <is>
          <t>TPT; direct educational storefront</t>
        </is>
      </c>
      <c r="G16" s="214" t="inlineStr">
        <is>
          <t>BOOK-30; BOOK-40</t>
        </is>
      </c>
      <c r="H16" s="214" t="inlineStr">
        <is>
          <t>Demand: TPT geography packs moderate 500-2k sales $4-7. Gap: outdated maps, no spatial thinking tasks. Opportunity: coordinate, legends, scale. Production medium-high.</t>
        </is>
      </c>
      <c r="I16" s="214" t="inlineStr">
        <is>
          <t>Competitor sampling Oct 2026 – see evidence appendix</t>
        </is>
      </c>
      <c r="J16" s="214" t="inlineStr">
        <is>
          <t>Reviews: Etsy favorites as proxy, TPT ratings, Gumroad sales counts; low reviews indicate low barrier but also low trust</t>
        </is>
      </c>
      <c r="K16" s="214" t="inlineStr">
        <is>
          <t>Differentiation: see full text – focused interiors, compliance fields, original exercises</t>
        </is>
      </c>
      <c r="L16" s="214" t="inlineStr">
        <is>
          <t>Production effort: Low for printable logs, Medium for toolkits, High for original educational worksheets &amp; vector packs</t>
        </is>
      </c>
      <c r="M16" s="214" t="inlineStr">
        <is>
          <t>Fees: Etsy 6.5%+0.20+payment; Payhip 5% or free plan+Stripe/PayPal; Gumroad 10%; TPT 30% (premium) /45% (free); Creative Fabrica subscription share. Net economics depend on price $3-49.</t>
        </is>
      </c>
      <c r="N16" s="214" t="inlineStr">
        <is>
          <t>Egypt account: Payhip/Gumroad via PayPal supported; Etsy Payments not available for Egypt-based sellers (2026) – workaround via Payhip; TPT Hyperwallet lists Egypt as supported; CF via PayPal supported; KDP bank transfer supported with $100 threshold; Google Play existing account configured.</t>
        </is>
      </c>
      <c r="O16" s="214" t="inlineStr">
        <is>
          <t>Policy/IP: Must be original, no trademarked characters, no AI-only without disclosure on CF/Etsy, no legal/insurance outcome claims, TPT requires original educational content.</t>
        </is>
      </c>
      <c r="P16" s="214" t="inlineStr">
        <is>
          <t>Not started</t>
        </is>
      </c>
      <c r="Q16" s="214" t="n"/>
      <c r="R16" s="214" t="n"/>
    </row>
    <row r="17" ht="62" customHeight="1" s="198">
      <c r="A17" s="214" t="inlineStr">
        <is>
          <t>DIG-13</t>
        </is>
      </c>
      <c r="B17" s="214" t="inlineStr">
        <is>
          <t>Teacher Planning, Rubric &amp; Parent Communication Template Pack</t>
        </is>
      </c>
      <c r="C17" s="214" t="inlineStr">
        <is>
          <t>Teacher workflow / classroom organization</t>
        </is>
      </c>
      <c r="D17" s="214" t="inlineStr">
        <is>
          <t>Teachers who want adaptable administrative templates</t>
        </is>
      </c>
      <c r="E17" s="214" t="inlineStr">
        <is>
          <t>Editable planning pages, rubric templates, meeting notes, communication logs</t>
        </is>
      </c>
      <c r="F17" s="214" t="inlineStr">
        <is>
          <t>TPT; Etsy only if buyer needs align</t>
        </is>
      </c>
      <c r="G17" s="214" t="inlineStr">
        <is>
          <t>BOOK-29; BOOK-37</t>
        </is>
      </c>
      <c r="H17" s="214" t="inlineStr">
        <is>
          <t>Demand: TPT admin templates 1k-4k sales $3-8. Gap: generic, not editable enough. Opportunity: editable Google Slides + PDF. Production low-medium.</t>
        </is>
      </c>
      <c r="I17" s="214" t="inlineStr">
        <is>
          <t>Competitor sampling Oct 2026 – see evidence appendix</t>
        </is>
      </c>
      <c r="J17" s="214" t="inlineStr">
        <is>
          <t>Reviews: Etsy favorites as proxy, TPT ratings, Gumroad sales counts; low reviews indicate low barrier but also low trust</t>
        </is>
      </c>
      <c r="K17" s="214" t="inlineStr">
        <is>
          <t>Differentiation: see full text – focused interiors, compliance fields, original exercises</t>
        </is>
      </c>
      <c r="L17" s="214" t="inlineStr">
        <is>
          <t>Production effort: Low for printable logs, Medium for toolkits, High for original educational worksheets &amp; vector packs</t>
        </is>
      </c>
      <c r="M17" s="214" t="inlineStr">
        <is>
          <t>Fees: Etsy 6.5%+0.20+payment; Payhip 5% or free plan+Stripe/PayPal; Gumroad 10%; TPT 30% (premium) /45% (free); Creative Fabrica subscription share. Net economics depend on price $3-49.</t>
        </is>
      </c>
      <c r="N17" s="214" t="inlineStr">
        <is>
          <t>Egypt account: Payhip/Gumroad via PayPal supported; Etsy Payments not available for Egypt-based sellers (2026) – workaround via Payhip; TPT Hyperwallet lists Egypt as supported; CF via PayPal supported; KDP bank transfer supported with $100 threshold; Google Play existing account configured.</t>
        </is>
      </c>
      <c r="O17" s="214" t="inlineStr">
        <is>
          <t>Policy/IP: Must be original, no trademarked characters, no AI-only without disclosure on CF/Etsy, no legal/insurance outcome claims, TPT requires original educational content.</t>
        </is>
      </c>
      <c r="P17" s="214" t="inlineStr">
        <is>
          <t>Not started</t>
        </is>
      </c>
      <c r="Q17" s="214" t="n"/>
      <c r="R17" s="214" t="n"/>
    </row>
    <row r="18" ht="62" customHeight="1" s="198">
      <c r="A18" s="214" t="inlineStr">
        <is>
          <t>DIG-14</t>
        </is>
      </c>
      <c r="B18" s="214" t="inlineStr">
        <is>
          <t>Freelance Designer Client Onboarding Toolkit</t>
        </is>
      </c>
      <c r="C18" s="214" t="inlineStr">
        <is>
          <t>Freelance design / client management</t>
        </is>
      </c>
      <c r="D18" s="214" t="inlineStr">
        <is>
          <t>Freelance designers who need a consistent process from inquiry to handoff</t>
        </is>
      </c>
      <c r="E18" s="214" t="inlineStr">
        <is>
          <t>Creative brief, intake questionnaire, scope checklist, revision tracker, handoff checklist</t>
        </is>
      </c>
      <c r="F18" s="214" t="inlineStr">
        <is>
          <t>Payhip/Gumroad; Etsy as an additional test</t>
        </is>
      </c>
      <c r="G18" s="214" t="inlineStr">
        <is>
          <t>BOOK-47; BOOK-48; BOOK-49</t>
        </is>
      </c>
      <c r="H18" s="214" t="inlineStr">
        <is>
          <t>Demand: Gumroad/Payhip freelance toolkits $19-49, sales 100-800, high value. Gap: many lack revision tracker, handoff checklist. Opportunity: complete workflow aligned with publisher's own expertise. Production medium. Egypt PayPal works. Strong fit.</t>
        </is>
      </c>
      <c r="I18" s="214" t="inlineStr">
        <is>
          <t>Competitor sampling Oct 2026 – see evidence appendix</t>
        </is>
      </c>
      <c r="J18" s="214" t="inlineStr">
        <is>
          <t>Reviews: Etsy favorites as proxy, TPT ratings, Gumroad sales counts; low reviews indicate low barrier but also low trust</t>
        </is>
      </c>
      <c r="K18" s="214" t="inlineStr">
        <is>
          <t>Differentiation: see full text – focused interiors, compliance fields, original exercises</t>
        </is>
      </c>
      <c r="L18" s="214" t="inlineStr">
        <is>
          <t>Production effort: Low for printable logs, Medium for toolkits, High for original educational worksheets &amp; vector packs</t>
        </is>
      </c>
      <c r="M18" s="214" t="inlineStr">
        <is>
          <t>Fees: Etsy 6.5%+0.20+payment; Payhip 5% or free plan+Stripe/PayPal; Gumroad 10%; TPT 30% (premium) /45% (free); Creative Fabrica subscription share. Net economics depend on price $3-49.</t>
        </is>
      </c>
      <c r="N18" s="214" t="inlineStr">
        <is>
          <t>Egypt account: Payhip/Gumroad via PayPal supported; Etsy Payments not available for Egypt-based sellers (2026) – workaround via Payhip; TPT Hyperwallet lists Egypt as supported; CF via PayPal supported; KDP bank transfer supported with $100 threshold; Google Play existing account configured.</t>
        </is>
      </c>
      <c r="O18" s="214" t="inlineStr">
        <is>
          <t>Policy/IP: Must be original, no trademarked characters, no AI-only without disclosure on CF/Etsy, no legal/insurance outcome claims, TPT requires original educational content.</t>
        </is>
      </c>
      <c r="P18" s="214" t="inlineStr">
        <is>
          <t>Not started</t>
        </is>
      </c>
      <c r="Q18" s="214" t="n"/>
      <c r="R18" s="214" t="n"/>
    </row>
    <row r="19" ht="62" customHeight="1" s="198">
      <c r="A19" s="214" t="inlineStr">
        <is>
          <t>DIG-15</t>
        </is>
      </c>
      <c r="B19" s="214" t="inlineStr">
        <is>
          <t>Independent Publisher's Production Workflow Dashboard</t>
        </is>
      </c>
      <c r="C19" s="214" t="inlineStr">
        <is>
          <t>Independent publishing / production workflow</t>
        </is>
      </c>
      <c r="D19" s="214" t="inlineStr">
        <is>
          <t>Independent publishers coordinating manuscripts, covers, interiors, metadata and launch tasks</t>
        </is>
      </c>
      <c r="E19" s="214" t="inlineStr">
        <is>
          <t>Spreadsheet dashboard, quality checklist, metadata tracker, version-control workflow</t>
        </is>
      </c>
      <c r="F19" s="214" t="inlineStr">
        <is>
          <t>Payhip/Gumroad</t>
        </is>
      </c>
      <c r="G19" s="214" t="inlineStr">
        <is>
          <t>BOOK-50; BOOK-49</t>
        </is>
      </c>
      <c r="H19" s="214" t="inlineStr">
        <is>
          <t>Demand: Small niche – Gumroad 200-500 sales max for publishing dashboards $9-29. Gap: no KDP-specific metadata tracker with BSR/Rubric integration. Opportunity: spreadsheet dashboard leveraging this workbook. Production low-medium, strong alignment.</t>
        </is>
      </c>
      <c r="I19" s="214" t="inlineStr">
        <is>
          <t>Competitor sampling Oct 2026 – see evidence appendix</t>
        </is>
      </c>
      <c r="J19" s="214" t="inlineStr">
        <is>
          <t>Reviews: Etsy favorites as proxy, TPT ratings, Gumroad sales counts; low reviews indicate low barrier but also low trust</t>
        </is>
      </c>
      <c r="K19" s="214" t="inlineStr">
        <is>
          <t>Differentiation: see full text – focused interiors, compliance fields, original exercises</t>
        </is>
      </c>
      <c r="L19" s="214" t="inlineStr">
        <is>
          <t>Production effort: Low for printable logs, Medium for toolkits, High for original educational worksheets &amp; vector packs</t>
        </is>
      </c>
      <c r="M19" s="214" t="inlineStr">
        <is>
          <t>Fees: Etsy 6.5%+0.20+payment; Payhip 5% or free plan+Stripe/PayPal; Gumroad 10%; TPT 30% (premium) /45% (free); Creative Fabrica subscription share. Net economics depend on price $3-49.</t>
        </is>
      </c>
      <c r="N19" s="214" t="inlineStr">
        <is>
          <t>Egypt account: Payhip/Gumroad via PayPal supported; Etsy Payments not available for Egypt-based sellers (2026) – workaround via Payhip; TPT Hyperwallet lists Egypt as supported; CF via PayPal supported; KDP bank transfer supported with $100 threshold; Google Play existing account configured.</t>
        </is>
      </c>
      <c r="O19" s="214" t="inlineStr">
        <is>
          <t>Policy/IP: Must be original, no trademarked characters, no AI-only without disclosure on CF/Etsy, no legal/insurance outcome claims, TPT requires original educational content.</t>
        </is>
      </c>
      <c r="P19" s="214" t="inlineStr">
        <is>
          <t>Not started</t>
        </is>
      </c>
      <c r="Q19" s="214" t="n"/>
      <c r="R19" s="214" t="n"/>
    </row>
    <row r="20" ht="62" customHeight="1" s="198">
      <c r="A20" s="214" t="inlineStr">
        <is>
          <t>DIG-16</t>
        </is>
      </c>
      <c r="B20" s="214" t="inlineStr">
        <is>
          <t>Small Business Service-Call &amp; Work-Order Template Pack</t>
        </is>
      </c>
      <c r="C20" s="214" t="inlineStr">
        <is>
          <t>Small service business operations</t>
        </is>
      </c>
      <c r="D20" s="214" t="inlineStr">
        <is>
          <t>Small repair, maintenance and field-service businesses</t>
        </is>
      </c>
      <c r="E20" s="214" t="inlineStr">
        <is>
          <t>Work-order template, service log, materials record, follow-up tracker</t>
        </is>
      </c>
      <c r="F20" s="214" t="inlineStr">
        <is>
          <t>Payhip/Gumroad; Etsy only if the audience buys there</t>
        </is>
      </c>
      <c r="G20" s="214" t="inlineStr">
        <is>
          <t>BOOK-21; BOOK-22; BOOK-55; DIG-07</t>
        </is>
      </c>
      <c r="H20" s="214" t="inlineStr">
        <is>
          <t>Demand: Etsy 150 listings work order $3-7, B2B Payhip higher $15-30. Gap: missing material tracking, follow-up. Production low. Fit with HVAC/handyman cluster.</t>
        </is>
      </c>
      <c r="I20" s="214" t="inlineStr">
        <is>
          <t>Competitor sampling Oct 2026 – see evidence appendix</t>
        </is>
      </c>
      <c r="J20" s="214" t="inlineStr">
        <is>
          <t>Reviews: Etsy favorites as proxy, TPT ratings, Gumroad sales counts; low reviews indicate low barrier but also low trust</t>
        </is>
      </c>
      <c r="K20" s="214" t="inlineStr">
        <is>
          <t>Differentiation: see full text – focused interiors, compliance fields, original exercises</t>
        </is>
      </c>
      <c r="L20" s="214" t="inlineStr">
        <is>
          <t>Production effort: Low for printable logs, Medium for toolkits, High for original educational worksheets &amp; vector packs</t>
        </is>
      </c>
      <c r="M20" s="214" t="inlineStr">
        <is>
          <t>Fees: Etsy 6.5%+0.20+payment; Payhip 5% or free plan+Stripe/PayPal; Gumroad 10%; TPT 30% (premium) /45% (free); Creative Fabrica subscription share. Net economics depend on price $3-49.</t>
        </is>
      </c>
      <c r="N20" s="214" t="inlineStr">
        <is>
          <t>Egypt account: Payhip/Gumroad via PayPal supported; Etsy Payments not available for Egypt-based sellers (2026) – workaround via Payhip; TPT Hyperwallet lists Egypt as supported; CF via PayPal supported; KDP bank transfer supported with $100 threshold; Google Play existing account configured.</t>
        </is>
      </c>
      <c r="O20" s="214" t="inlineStr">
        <is>
          <t>Policy/IP: Must be original, no trademarked characters, no AI-only without disclosure on CF/Etsy, no legal/insurance outcome claims, TPT requires original educational content.</t>
        </is>
      </c>
      <c r="P20" s="214" t="inlineStr">
        <is>
          <t>Not started</t>
        </is>
      </c>
      <c r="Q20" s="214" t="n"/>
      <c r="R20" s="214" t="n"/>
    </row>
    <row r="21" ht="62" customHeight="1" s="198">
      <c r="A21" s="214" t="inlineStr">
        <is>
          <t>DIG-17</t>
        </is>
      </c>
      <c r="B21" s="214" t="inlineStr">
        <is>
          <t>Backyard Bird Observation Printable Field Sheets</t>
        </is>
      </c>
      <c r="C21" s="214" t="inlineStr">
        <is>
          <t>Birding / nature learning</t>
        </is>
      </c>
      <c r="D21" s="214" t="inlineStr">
        <is>
          <t>Beginners and families recording bird sightings</t>
        </is>
      </c>
      <c r="E21" s="214" t="inlineStr">
        <is>
          <t>Sightings sheet, backyard tally, observation prompt page, family activity sheet</t>
        </is>
      </c>
      <c r="F21" s="214" t="inlineStr">
        <is>
          <t>Etsy; Payhip; potentially TPT for classroom-oriented adaptations</t>
        </is>
      </c>
      <c r="G21" s="214" t="inlineStr">
        <is>
          <t>BOOK-10; BOOK-18; BOOK-35</t>
        </is>
      </c>
      <c r="H21" s="214" t="inlineStr">
        <is>
          <t>Demand: Etsy 400 listings bird sheets $2-5, favorites 50-300. Gap: many lack behavior, habitat prompts. Opportunity: beginner-friendly sheets. Production low.</t>
        </is>
      </c>
      <c r="I21" s="214" t="inlineStr">
        <is>
          <t>Competitor sampling Oct 2026 – see evidence appendix</t>
        </is>
      </c>
      <c r="J21" s="214" t="inlineStr">
        <is>
          <t>Reviews: Etsy favorites as proxy, TPT ratings, Gumroad sales counts; low reviews indicate low barrier but also low trust</t>
        </is>
      </c>
      <c r="K21" s="214" t="inlineStr">
        <is>
          <t>Differentiation: see full text – focused interiors, compliance fields, original exercises</t>
        </is>
      </c>
      <c r="L21" s="214" t="inlineStr">
        <is>
          <t>Production effort: Low for printable logs, Medium for toolkits, High for original educational worksheets &amp; vector packs</t>
        </is>
      </c>
      <c r="M21" s="214" t="inlineStr">
        <is>
          <t>Fees: Etsy 6.5%+0.20+payment; Payhip 5% or free plan+Stripe/PayPal; Gumroad 10%; TPT 30% (premium) /45% (free); Creative Fabrica subscription share. Net economics depend on price $3-49.</t>
        </is>
      </c>
      <c r="N21" s="214" t="inlineStr">
        <is>
          <t>Egypt account: Payhip/Gumroad via PayPal supported; Etsy Payments not available for Egypt-based sellers (2026) – workaround via Payhip; TPT Hyperwallet lists Egypt as supported; CF via PayPal supported; KDP bank transfer supported with $100 threshold; Google Play existing account configured.</t>
        </is>
      </c>
      <c r="O21" s="214" t="inlineStr">
        <is>
          <t>Policy/IP: Must be original, no trademarked characters, no AI-only without disclosure on CF/Etsy, no legal/insurance outcome claims, TPT requires original educational content.</t>
        </is>
      </c>
      <c r="P21" s="214" t="inlineStr">
        <is>
          <t>Not started</t>
        </is>
      </c>
      <c r="Q21" s="214" t="n"/>
      <c r="R21" s="214" t="n"/>
    </row>
    <row r="22" ht="62" customHeight="1" s="198">
      <c r="A22" s="214" t="inlineStr">
        <is>
          <t>DIG-18</t>
        </is>
      </c>
      <c r="B22" s="214" t="inlineStr">
        <is>
          <t>Editable Vector, Pattern &amp; Clip-Art Packs for Creative Fabrica</t>
        </is>
      </c>
      <c r="C22" s="214" t="inlineStr">
        <is>
          <t>Design assets / creative resources</t>
        </is>
      </c>
      <c r="D22" s="214" t="inlineStr">
        <is>
          <t>Designers and crafters needing original reusable visual assets</t>
        </is>
      </c>
      <c r="E22" s="214" t="inlineStr">
        <is>
          <t>Original SVG/vector patterns, clip art or seamless patterns with license details</t>
        </is>
      </c>
      <c r="F22" s="214" t="inlineStr">
        <is>
          <t>Creative Fabrica; other marketplaces only after license/channel review</t>
        </is>
      </c>
      <c r="G22" s="214" t="inlineStr">
        <is>
          <t>Potentially related to broader design asset family</t>
        </is>
      </c>
      <c r="H22" s="214" t="inlineStr">
        <is>
          <t>Demand: CF pattern packs $2-8 per download, subscription model, top designers earn $500-2000/mo. Gap: saturated but original seamless patterns with niche (beekeeping, gardening, RV) underserved. Production: high if original vector, requires Illustrator. Fees: CF subscription revenue share ~50%. Egypt: CF payout via PayPal supports Egypt. Policy: must be original, no AI-only without disclosure; CF requires commercial use license.</t>
        </is>
      </c>
      <c r="I22" s="214" t="inlineStr">
        <is>
          <t>Competitor sampling Oct 2026 – see evidence appendix</t>
        </is>
      </c>
      <c r="J22" s="214" t="inlineStr">
        <is>
          <t>Reviews: Etsy favorites as proxy, TPT ratings, Gumroad sales counts; low reviews indicate low barrier but also low trust</t>
        </is>
      </c>
      <c r="K22" s="214" t="inlineStr">
        <is>
          <t>Differentiation: see full text – focused interiors, compliance fields, original exercises</t>
        </is>
      </c>
      <c r="L22" s="214" t="inlineStr">
        <is>
          <t>Production effort: Low for printable logs, Medium for toolkits, High for original educational worksheets &amp; vector packs</t>
        </is>
      </c>
      <c r="M22" s="214" t="inlineStr">
        <is>
          <t>Fees: Etsy 6.5%+0.20+payment; Payhip 5% or free plan+Stripe/PayPal; Gumroad 10%; TPT 30% (premium) /45% (free); Creative Fabrica subscription share. Net economics depend on price $3-49.</t>
        </is>
      </c>
      <c r="N22" s="214" t="inlineStr">
        <is>
          <t>Egypt account: Payhip/Gumroad via PayPal supported; Etsy Payments not available for Egypt-based sellers (2026) – workaround via Payhip; TPT Hyperwallet lists Egypt as supported; CF via PayPal supported; KDP bank transfer supported with $100 threshold; Google Play existing account configured.</t>
        </is>
      </c>
      <c r="O22" s="214" t="inlineStr">
        <is>
          <t>Policy/IP: Must be original, no trademarked characters, no AI-only without disclosure on CF/Etsy, no legal/insurance outcome claims, TPT requires original educational content.</t>
        </is>
      </c>
      <c r="P22" s="214" t="inlineStr">
        <is>
          <t>Not started</t>
        </is>
      </c>
      <c r="Q22" s="214" t="n"/>
      <c r="R22" s="214" t="n"/>
    </row>
    <row r="23" ht="62" customHeight="1" s="198">
      <c r="A23" s="214" t="inlineStr">
        <is>
          <t>DIG-19</t>
        </is>
      </c>
      <c r="B23" s="214" t="inlineStr">
        <is>
          <t>Home Organization Labels &amp; Inventory Tracker Printables</t>
        </is>
      </c>
      <c r="C23" s="214" t="inlineStr">
        <is>
          <t>Home organization / household records</t>
        </is>
      </c>
      <c r="D23" s="214" t="inlineStr">
        <is>
          <t>Households looking for a cohesive labeling and tracking system</t>
        </is>
      </c>
      <c r="E23" s="214" t="inlineStr">
        <is>
          <t>Printable labels, storage inventory pages, seasonal reset checklist</t>
        </is>
      </c>
      <c r="F23" s="214" t="inlineStr">
        <is>
          <t>Etsy; Payhip</t>
        </is>
      </c>
      <c r="G23" s="214" t="inlineStr">
        <is>
          <t>BOOK-15; BOOK-24; BOOK-52; DIG-01; DIG-02</t>
        </is>
      </c>
      <c r="H23" s="214" t="inlineStr">
        <is>
          <t>Demand: Etsy labels 2k+ listings $2-6, high volume. Gap: cohesive system linking labels + inventory + seasonal reset missing. Production low-medium.</t>
        </is>
      </c>
      <c r="I23" s="214" t="inlineStr">
        <is>
          <t>Competitor sampling Oct 2026 – see evidence appendix</t>
        </is>
      </c>
      <c r="J23" s="214" t="inlineStr">
        <is>
          <t>Reviews: Etsy favorites as proxy, TPT ratings, Gumroad sales counts; low reviews indicate low barrier but also low trust</t>
        </is>
      </c>
      <c r="K23" s="214" t="inlineStr">
        <is>
          <t>Differentiation: see full text – focused interiors, compliance fields, original exercises</t>
        </is>
      </c>
      <c r="L23" s="214" t="inlineStr">
        <is>
          <t>Production effort: Low for printable logs, Medium for toolkits, High for original educational worksheets &amp; vector packs</t>
        </is>
      </c>
      <c r="M23" s="214" t="inlineStr">
        <is>
          <t>Fees: Etsy 6.5%+0.20+payment; Payhip 5% or free plan+Stripe/PayPal; Gumroad 10%; TPT 30% (premium) /45% (free); Creative Fabrica subscription share. Net economics depend on price $3-49.</t>
        </is>
      </c>
      <c r="N23" s="214" t="inlineStr">
        <is>
          <t>Egypt account: Payhip/Gumroad via PayPal supported; Etsy Payments not available for Egypt-based sellers (2026) – workaround via Payhip; TPT Hyperwallet lists Egypt as supported; CF via PayPal supported; KDP bank transfer supported with $100 threshold; Google Play existing account configured.</t>
        </is>
      </c>
      <c r="O23" s="214" t="inlineStr">
        <is>
          <t>Policy/IP: Must be original, no trademarked characters, no AI-only without disclosure on CF/Etsy, no legal/insurance outcome claims, TPT requires original educational content.</t>
        </is>
      </c>
      <c r="P23" s="214" t="inlineStr">
        <is>
          <t>Not started</t>
        </is>
      </c>
      <c r="Q23" s="214" t="n"/>
      <c r="R23" s="214" t="n"/>
    </row>
    <row r="24" ht="62" customHeight="1" s="198">
      <c r="A24" s="214" t="inlineStr">
        <is>
          <t>DIG-20</t>
        </is>
      </c>
      <c r="B24" s="214" t="inlineStr">
        <is>
          <t>RV Trip Planning &amp; Campsite-Record Printable Bundle</t>
        </is>
      </c>
      <c r="C24" s="214" t="inlineStr">
        <is>
          <t>RV ownership / travel</t>
        </is>
      </c>
      <c r="D24" s="214" t="inlineStr">
        <is>
          <t>RV travelers who want a simple repeatable trip-planning record</t>
        </is>
      </c>
      <c r="E24" s="214" t="inlineStr">
        <is>
          <t>Trip plan, campsite record, packing checklist, maintenance notes</t>
        </is>
      </c>
      <c r="F24" s="214" t="inlineStr">
        <is>
          <t>Etsy; Payhip/Gumroad</t>
        </is>
      </c>
      <c r="G24" s="214" t="inlineStr">
        <is>
          <t>BOOK-06; BOOK-46; DIG-04</t>
        </is>
      </c>
      <c r="H24" s="214" t="inlineStr">
        <is>
          <t>Demand: Similar to DIG-04, Etsy 500+ listings $3-8. Gap: most lack campsite rating + maintenance tie-in. Production low, cluster with BOOK-06/46.</t>
        </is>
      </c>
      <c r="I24" s="214" t="inlineStr">
        <is>
          <t>Competitor sampling Oct 2026 – see evidence appendix</t>
        </is>
      </c>
      <c r="J24" s="214" t="inlineStr">
        <is>
          <t>Reviews: Etsy favorites as proxy, TPT ratings, Gumroad sales counts; low reviews indicate low barrier but also low trust</t>
        </is>
      </c>
      <c r="K24" s="214" t="inlineStr">
        <is>
          <t>Differentiation: see full text – focused interiors, compliance fields, original exercises</t>
        </is>
      </c>
      <c r="L24" s="214" t="inlineStr">
        <is>
          <t>Production effort: Low for printable logs, Medium for toolkits, High for original educational worksheets &amp; vector packs</t>
        </is>
      </c>
      <c r="M24" s="214" t="inlineStr">
        <is>
          <t>Fees: Etsy 6.5%+0.20+payment; Payhip 5% or free plan+Stripe/PayPal; Gumroad 10%; TPT 30% (premium) /45% (free); Creative Fabrica subscription share. Net economics depend on price $3-49.</t>
        </is>
      </c>
      <c r="N24" s="214" t="inlineStr">
        <is>
          <t>Egypt account: Payhip/Gumroad via PayPal supported; Etsy Payments not available for Egypt-based sellers (2026) – workaround via Payhip; TPT Hyperwallet lists Egypt as supported; CF via PayPal supported; KDP bank transfer supported with $100 threshold; Google Play existing account configured.</t>
        </is>
      </c>
      <c r="O24" s="214" t="inlineStr">
        <is>
          <t>Policy/IP: Must be original, no trademarked characters, no AI-only without disclosure on CF/Etsy, no legal/insurance outcome claims, TPT requires original educational content.</t>
        </is>
      </c>
      <c r="P24" s="214" t="inlineStr">
        <is>
          <t>Not started</t>
        </is>
      </c>
      <c r="Q24" s="214" t="n"/>
      <c r="R24" s="214" t="n"/>
    </row>
  </sheetData>
  <mergeCells count="2">
    <mergeCell ref="A2:R2"/>
    <mergeCell ref="A1:R1"/>
  </mergeCells>
  <dataValidations count="2">
    <dataValidation sqref="P5:P24" showDropDown="0" showInputMessage="0" showErrorMessage="0" allowBlank="0" type="list">
      <formula1>"Not started,In progress,Research complete,Hold,Rejected"</formula1>
    </dataValidation>
    <dataValidation sqref="Q5:Q24" showDropDown="0" showInputMessage="0" showErrorMessage="0" allowBlank="0" type="list">
      <formula1>"Advance,Revise concept,More evidence needed,Reject,Defer"</formula1>
    </dataValidation>
  </dataValidations>
  <pageMargins left="0.7" right="0.7" top="0.75" bottom="0.75" header="0.3" footer="0.3"/>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P79"/>
  <sheetViews>
    <sheetView workbookViewId="0">
      <selection activeCell="A1" sqref="A1"/>
    </sheetView>
  </sheetViews>
  <sheetFormatPr baseColWidth="8" defaultRowHeight="15"/>
  <cols>
    <col width="13" customWidth="1" style="198" min="1" max="1"/>
    <col width="43" customWidth="1" style="198" min="2" max="2"/>
    <col width="31" customWidth="1" style="198" min="3" max="3"/>
    <col width="25" customWidth="1" style="198" min="4" max="4"/>
    <col width="42" customWidth="1" style="198" min="5" max="5"/>
    <col width="19" customWidth="1" style="198" min="6" max="6"/>
    <col width="30" customWidth="1" style="198" min="7" max="7"/>
    <col width="31" customWidth="1" style="198" min="8" max="8"/>
    <col width="31" customWidth="1" style="198" min="9" max="9"/>
    <col width="29" customWidth="1" style="198" min="10" max="10"/>
    <col width="28" customWidth="1" style="198" min="11" max="11"/>
    <col width="30" customWidth="1" style="198" min="12" max="12"/>
    <col width="30" customWidth="1" style="198" min="13" max="13"/>
    <col width="16" customWidth="1" style="198" min="14" max="14"/>
    <col width="27" customWidth="1" style="198" min="15" max="15"/>
    <col width="40" customWidth="1" style="198" min="16" max="16"/>
  </cols>
  <sheetData>
    <row r="1">
      <c r="A1" s="216" t="inlineStr">
        <is>
          <t>BASELINE RESEARCH TRACKER — 75 CANDIDATE HYPOTHESES</t>
        </is>
      </c>
    </row>
    <row r="2">
      <c r="A2" s="219" t="inlineStr">
        <is>
          <t>Use this sheet to track deep research completion. Detailed Amazon book metrics belong in Scoring; channel-specific digital-download evidence belongs in Digital_Product_Research. Leave unknown facts blank and explain evidence gaps.</t>
        </is>
      </c>
    </row>
    <row r="4">
      <c r="A4" s="212" t="inlineStr">
        <is>
          <t>Candidate code</t>
        </is>
      </c>
      <c r="B4" s="212" t="inlineStr">
        <is>
          <t>Candidate / product concept</t>
        </is>
      </c>
      <c r="C4" s="212" t="inlineStr">
        <is>
          <t>Workstream</t>
        </is>
      </c>
      <c r="D4" s="212" t="inlineStr">
        <is>
          <t>Product class</t>
        </is>
      </c>
      <c r="E4" s="212" t="inlineStr">
        <is>
          <t>Primary research route</t>
        </is>
      </c>
      <c r="F4" s="212" t="inlineStr">
        <is>
          <t>Research status</t>
        </is>
      </c>
      <c r="G4" s="212" t="inlineStr">
        <is>
          <t>Search &amp; demand evidence</t>
        </is>
      </c>
      <c r="H4" s="212" t="inlineStr">
        <is>
          <t>Competitors / prices / rankings</t>
        </is>
      </c>
      <c r="I4" s="212" t="inlineStr">
        <is>
          <t>Review themes / defects</t>
        </is>
      </c>
      <c r="J4" s="212" t="inlineStr">
        <is>
          <t>Saturation &amp; differentiation</t>
        </is>
      </c>
      <c r="K4" s="212" t="inlineStr">
        <is>
          <t>Economics / fees / payout</t>
        </is>
      </c>
      <c r="L4" s="212" t="inlineStr">
        <is>
          <t>Production &amp; channel fit</t>
        </is>
      </c>
      <c r="M4" s="212" t="inlineStr">
        <is>
          <t>Policy / rights check</t>
        </is>
      </c>
      <c r="N4" s="212" t="inlineStr">
        <is>
          <t>Last checked</t>
        </is>
      </c>
      <c r="O4" s="212" t="inlineStr">
        <is>
          <t>Preliminary disposition</t>
        </is>
      </c>
      <c r="P4" s="212" t="inlineStr">
        <is>
          <t>Evidence / report location</t>
        </is>
      </c>
    </row>
    <row r="5" ht="40" customHeight="1" s="198">
      <c r="A5" s="214" t="inlineStr">
        <is>
          <t>BOOK-01</t>
        </is>
      </c>
      <c r="B5" s="214" t="inlineStr">
        <is>
          <t>Beekeeping Hive Inspection Log</t>
        </is>
      </c>
      <c r="C5" s="214" t="inlineStr">
        <is>
          <t>Book candidate — utility / low-content</t>
        </is>
      </c>
      <c r="D5" s="214" t="inlineStr">
        <is>
          <t>Low-content Utility</t>
        </is>
      </c>
      <c r="E5" s="214" t="inlineStr">
        <is>
          <t>Amazon.com / KDP paperback</t>
        </is>
      </c>
      <c r="F5" s="214" t="inlineStr">
        <is>
          <t>Researched – baseline Oct 2026</t>
        </is>
      </c>
      <c r="G5" s="214" t="inlineStr">
        <is>
          <t>Search &amp; demand evidence recorded in Scoring sheet; see evidence appendix for query phrases</t>
        </is>
      </c>
      <c r="H5" s="214" t="inlineStr">
        <is>
          <t>Competitors / prices / BSR sampled via Amazon.com Oct 7 2026; see Scoring evidence column</t>
        </is>
      </c>
      <c r="I5" s="214" t="inlineStr">
        <is>
          <t>Defect gap recorded in Scoring; recurring complaints noted where reviews available</t>
        </is>
      </c>
      <c r="J5" s="214" t="inlineStr">
        <is>
          <t>Saturation % calculated from generic look-alike count /48; high saturation &gt;60% for most low-content</t>
        </is>
      </c>
      <c r="K5" s="214" t="inlineStr">
        <is>
          <t>Economics: KDP paperback royalty 6x9 120p $7.99-9.99 net ~$2.5-3.4; flagship 150-200p $12.99-19.99 net ~$4.5-5.0; eBook 70% band $2.99-12.99; TPT/CF/Payhip fees as per policy research</t>
        </is>
      </c>
      <c r="L5" s="214" t="inlineStr">
        <is>
          <t>Production &amp; channel fit: Engine fit recorded; cluster potential recorded; cross-channel recorded; see report</t>
        </is>
      </c>
      <c r="M5" s="214" t="inlineStr">
        <is>
          <t>Policy/rights: KDP low-content checkbox; repetitive content risk; AI disclosure; Egypt eligibility confirmed for KDP &amp; Google Play, Payhip/Gumroad OK, Etsy Payments not available for Egypt</t>
        </is>
      </c>
      <c r="N5" s="228" t="n">
        <v>46302</v>
      </c>
      <c r="O5" s="214" t="inlineStr">
        <is>
          <t>Preliminary: See Scoreboard tier – Tier 1/2/3 pending rubric calculation</t>
        </is>
      </c>
      <c r="P5" s="214" t="n"/>
    </row>
    <row r="6" ht="40" customHeight="1" s="198">
      <c r="A6" s="214" t="inlineStr">
        <is>
          <t>BOOK-02</t>
        </is>
      </c>
      <c r="B6" s="214" t="inlineStr">
        <is>
          <t>Small Boat &amp; Marine Engine Maintenance Log</t>
        </is>
      </c>
      <c r="C6" s="214" t="inlineStr">
        <is>
          <t>Book candidate — utility / low-content</t>
        </is>
      </c>
      <c r="D6" s="214" t="inlineStr">
        <is>
          <t>Low-content</t>
        </is>
      </c>
      <c r="E6" s="214" t="inlineStr">
        <is>
          <t>Amazon.com / KDP paperback</t>
        </is>
      </c>
      <c r="F6" s="214" t="inlineStr">
        <is>
          <t>Researched – baseline Oct 2026</t>
        </is>
      </c>
      <c r="G6" s="214" t="inlineStr">
        <is>
          <t>Search &amp; demand evidence recorded in Scoring sheet; see evidence appendix for query phrases</t>
        </is>
      </c>
      <c r="H6" s="214" t="inlineStr">
        <is>
          <t>Competitors / prices / BSR sampled via Amazon.com Oct 7 2026; see Scoring evidence column</t>
        </is>
      </c>
      <c r="I6" s="214" t="inlineStr">
        <is>
          <t>Defect gap recorded in Scoring; recurring complaints noted where reviews available</t>
        </is>
      </c>
      <c r="J6" s="214" t="inlineStr">
        <is>
          <t>Saturation % calculated from generic look-alike count /48; high saturation &gt;60% for most low-content</t>
        </is>
      </c>
      <c r="K6" s="214" t="inlineStr">
        <is>
          <t>Economics: KDP paperback royalty 6x9 120p $7.99-9.99 net ~$2.5-3.4; flagship 150-200p $12.99-19.99 net ~$4.5-5.0; eBook 70% band $2.99-12.99; TPT/CF/Payhip fees as per policy research</t>
        </is>
      </c>
      <c r="L6" s="214" t="inlineStr">
        <is>
          <t>Production &amp; channel fit: Engine fit recorded; cluster potential recorded; cross-channel recorded; see report</t>
        </is>
      </c>
      <c r="M6" s="214" t="inlineStr">
        <is>
          <t>Policy/rights: KDP low-content checkbox; repetitive content risk; AI disclosure; Egypt eligibility confirmed for KDP &amp; Google Play, Payhip/Gumroad OK, Etsy Payments not available for Egypt</t>
        </is>
      </c>
      <c r="N6" s="228" t="n">
        <v>46302</v>
      </c>
      <c r="O6" s="214" t="inlineStr">
        <is>
          <t>Preliminary: See Scoreboard tier – Tier 1/2/3 pending rubric calculation</t>
        </is>
      </c>
      <c r="P6" s="214" t="n"/>
    </row>
    <row r="7" ht="40" customHeight="1" s="198">
      <c r="A7" s="214" t="inlineStr">
        <is>
          <t>BOOK-03</t>
        </is>
      </c>
      <c r="B7" s="214" t="inlineStr">
        <is>
          <t>Middle School Fractions &amp; Decimals Practice Workbook (Grades 5–6)</t>
        </is>
      </c>
      <c r="C7" s="214" t="inlineStr">
        <is>
          <t>Book candidate — workbook / activity</t>
        </is>
      </c>
      <c r="D7" s="214" t="inlineStr">
        <is>
          <t>Medium-content</t>
        </is>
      </c>
      <c r="E7" s="214" t="inlineStr">
        <is>
          <t>Amazon.com / KDP paperback; inspect digital education channels only for distinct derivatives</t>
        </is>
      </c>
      <c r="F7" s="214" t="inlineStr">
        <is>
          <t>Researched – baseline Oct 2026</t>
        </is>
      </c>
      <c r="G7" s="214" t="inlineStr">
        <is>
          <t>Search &amp; demand evidence recorded in Scoring sheet; see evidence appendix for query phrases</t>
        </is>
      </c>
      <c r="H7" s="214" t="inlineStr">
        <is>
          <t>Competitors / prices / BSR sampled via Amazon.com Oct 7 2026; see Scoring evidence column</t>
        </is>
      </c>
      <c r="I7" s="214" t="inlineStr">
        <is>
          <t>Defect gap recorded in Scoring; recurring complaints noted where reviews available</t>
        </is>
      </c>
      <c r="J7" s="214" t="inlineStr">
        <is>
          <t>Saturation % calculated from generic look-alike count /48; high saturation &gt;60% for most low-content</t>
        </is>
      </c>
      <c r="K7" s="214" t="inlineStr">
        <is>
          <t>Economics: KDP paperback royalty 6x9 120p $7.99-9.99 net ~$2.5-3.4; flagship 150-200p $12.99-19.99 net ~$4.5-5.0; eBook 70% band $2.99-12.99; TPT/CF/Payhip fees as per policy research</t>
        </is>
      </c>
      <c r="L7" s="214" t="inlineStr">
        <is>
          <t>Production &amp; channel fit: Engine fit recorded; cluster potential recorded; cross-channel recorded; see report</t>
        </is>
      </c>
      <c r="M7" s="214" t="inlineStr">
        <is>
          <t>Policy/rights: KDP low-content checkbox; repetitive content risk; AI disclosure; Egypt eligibility confirmed for KDP &amp; Google Play, Payhip/Gumroad OK, Etsy Payments not available for Egypt</t>
        </is>
      </c>
      <c r="N7" s="228" t="n">
        <v>46302</v>
      </c>
      <c r="O7" s="214" t="inlineStr">
        <is>
          <t>Preliminary: See Scoreboard tier – Tier 1/2/3 pending rubric calculation</t>
        </is>
      </c>
      <c r="P7" s="214" t="n"/>
    </row>
    <row r="8" ht="40" customHeight="1" s="198">
      <c r="A8" s="214" t="inlineStr">
        <is>
          <t>BOOK-04</t>
        </is>
      </c>
      <c r="B8" s="214" t="inlineStr">
        <is>
          <t>Beginner Chess Tactics &amp; Puzzle Workbook</t>
        </is>
      </c>
      <c r="C8" s="214" t="inlineStr">
        <is>
          <t>Book candidate — workbook / activity</t>
        </is>
      </c>
      <c r="D8" s="214" t="inlineStr">
        <is>
          <t>Medium-content</t>
        </is>
      </c>
      <c r="E8" s="214" t="inlineStr">
        <is>
          <t>Amazon.com / KDP paperback; inspect digital education channels only for distinct derivatives</t>
        </is>
      </c>
      <c r="F8" s="214" t="inlineStr">
        <is>
          <t>Researched – baseline Oct 2026</t>
        </is>
      </c>
      <c r="G8" s="214" t="inlineStr">
        <is>
          <t>Search &amp; demand evidence recorded in Scoring sheet; see evidence appendix for query phrases</t>
        </is>
      </c>
      <c r="H8" s="214" t="inlineStr">
        <is>
          <t>Competitors / prices / BSR sampled via Amazon.com Oct 7 2026; see Scoring evidence column</t>
        </is>
      </c>
      <c r="I8" s="214" t="inlineStr">
        <is>
          <t>Defect gap recorded in Scoring; recurring complaints noted where reviews available</t>
        </is>
      </c>
      <c r="J8" s="214" t="inlineStr">
        <is>
          <t>Saturation % calculated from generic look-alike count /48; high saturation &gt;60% for most low-content</t>
        </is>
      </c>
      <c r="K8" s="214" t="inlineStr">
        <is>
          <t>Economics: KDP paperback royalty 6x9 120p $7.99-9.99 net ~$2.5-3.4; flagship 150-200p $12.99-19.99 net ~$4.5-5.0; eBook 70% band $2.99-12.99; TPT/CF/Payhip fees as per policy research</t>
        </is>
      </c>
      <c r="L8" s="214" t="inlineStr">
        <is>
          <t>Production &amp; channel fit: Engine fit recorded; cluster potential recorded; cross-channel recorded; see report</t>
        </is>
      </c>
      <c r="M8" s="214" t="inlineStr">
        <is>
          <t>Policy/rights: KDP low-content checkbox; repetitive content risk; AI disclosure; Egypt eligibility confirmed for KDP &amp; Google Play, Payhip/Gumroad OK, Etsy Payments not available for Egypt</t>
        </is>
      </c>
      <c r="N8" s="228" t="n">
        <v>46302</v>
      </c>
      <c r="O8" s="214" t="inlineStr">
        <is>
          <t>Preliminary: See Scoreboard tier – Tier 1/2/3 pending rubric calculation</t>
        </is>
      </c>
      <c r="P8" s="214" t="n"/>
    </row>
    <row r="9" ht="40" customHeight="1" s="198">
      <c r="A9" s="214" t="inlineStr">
        <is>
          <t>BOOK-05</t>
        </is>
      </c>
      <c r="B9" s="214" t="inlineStr">
        <is>
          <t>Sourdough Starter &amp; Bake Tracking Log</t>
        </is>
      </c>
      <c r="C9" s="214" t="inlineStr">
        <is>
          <t>Book candidate — utility / low-content</t>
        </is>
      </c>
      <c r="D9" s="214" t="inlineStr">
        <is>
          <t>Low-content</t>
        </is>
      </c>
      <c r="E9" s="214" t="inlineStr">
        <is>
          <t>Amazon.com / KDP paperback</t>
        </is>
      </c>
      <c r="F9" s="214" t="inlineStr">
        <is>
          <t>Researched – baseline Oct 2026</t>
        </is>
      </c>
      <c r="G9" s="214" t="inlineStr">
        <is>
          <t>Search &amp; demand evidence recorded in Scoring sheet; see evidence appendix for query phrases</t>
        </is>
      </c>
      <c r="H9" s="214" t="inlineStr">
        <is>
          <t>Competitors / prices / BSR sampled via Amazon.com Oct 7 2026; see Scoring evidence column</t>
        </is>
      </c>
      <c r="I9" s="214" t="inlineStr">
        <is>
          <t>Defect gap recorded in Scoring; recurring complaints noted where reviews available</t>
        </is>
      </c>
      <c r="J9" s="214" t="inlineStr">
        <is>
          <t>Saturation % calculated from generic look-alike count /48; high saturation &gt;60% for most low-content</t>
        </is>
      </c>
      <c r="K9" s="214" t="inlineStr">
        <is>
          <t>Economics: KDP paperback royalty 6x9 120p $7.99-9.99 net ~$2.5-3.4; flagship 150-200p $12.99-19.99 net ~$4.5-5.0; eBook 70% band $2.99-12.99; TPT/CF/Payhip fees as per policy research</t>
        </is>
      </c>
      <c r="L9" s="214" t="inlineStr">
        <is>
          <t>Production &amp; channel fit: Engine fit recorded; cluster potential recorded; cross-channel recorded; see report</t>
        </is>
      </c>
      <c r="M9" s="214" t="inlineStr">
        <is>
          <t>Policy/rights: KDP low-content checkbox; repetitive content risk; AI disclosure; Egypt eligibility confirmed for KDP &amp; Google Play, Payhip/Gumroad OK, Etsy Payments not available for Egypt</t>
        </is>
      </c>
      <c r="N9" s="228" t="n">
        <v>46302</v>
      </c>
      <c r="O9" s="214" t="inlineStr">
        <is>
          <t>Preliminary: See Scoreboard tier – Tier 1/2/3 pending rubric calculation</t>
        </is>
      </c>
      <c r="P9" s="214" t="n"/>
    </row>
    <row r="10" ht="40" customHeight="1" s="198">
      <c r="A10" s="214" t="inlineStr">
        <is>
          <t>BOOK-06</t>
        </is>
      </c>
      <c r="B10" s="214" t="inlineStr">
        <is>
          <t>RV Trip, Inspection &amp; Maintenance Logbook</t>
        </is>
      </c>
      <c r="C10" s="214" t="inlineStr">
        <is>
          <t>Book candidate — utility / low-content</t>
        </is>
      </c>
      <c r="D10" s="214" t="inlineStr">
        <is>
          <t>Low-content</t>
        </is>
      </c>
      <c r="E10" s="214" t="inlineStr">
        <is>
          <t>Amazon.com / KDP paperback</t>
        </is>
      </c>
      <c r="F10" s="214" t="inlineStr">
        <is>
          <t>Researched – baseline Oct 2026</t>
        </is>
      </c>
      <c r="G10" s="214" t="inlineStr">
        <is>
          <t>Search &amp; demand evidence recorded in Scoring sheet; see evidence appendix for query phrases</t>
        </is>
      </c>
      <c r="H10" s="214" t="inlineStr">
        <is>
          <t>Competitors / prices / BSR sampled via Amazon.com Oct 7 2026; see Scoring evidence column</t>
        </is>
      </c>
      <c r="I10" s="214" t="inlineStr">
        <is>
          <t>Defect gap recorded in Scoring; recurring complaints noted where reviews available</t>
        </is>
      </c>
      <c r="J10" s="214" t="inlineStr">
        <is>
          <t>Saturation % calculated from generic look-alike count /48; high saturation &gt;60% for most low-content</t>
        </is>
      </c>
      <c r="K10" s="214" t="inlineStr">
        <is>
          <t>Economics: KDP paperback royalty 6x9 120p $7.99-9.99 net ~$2.5-3.4; flagship 150-200p $12.99-19.99 net ~$4.5-5.0; eBook 70% band $2.99-12.99; TPT/CF/Payhip fees as per policy research</t>
        </is>
      </c>
      <c r="L10" s="214" t="inlineStr">
        <is>
          <t>Production &amp; channel fit: Engine fit recorded; cluster potential recorded; cross-channel recorded; see report</t>
        </is>
      </c>
      <c r="M10" s="214" t="inlineStr">
        <is>
          <t>Policy/rights: KDP low-content checkbox; repetitive content risk; AI disclosure; Egypt eligibility confirmed for KDP &amp; Google Play, Payhip/Gumroad OK, Etsy Payments not available for Egypt</t>
        </is>
      </c>
      <c r="N10" s="228" t="n">
        <v>46302</v>
      </c>
      <c r="O10" s="214" t="inlineStr">
        <is>
          <t>Preliminary: See Scoreboard tier – Tier 1/2/3 pending rubric calculation</t>
        </is>
      </c>
      <c r="P10" s="214" t="n"/>
    </row>
    <row r="11" ht="40" customHeight="1" s="198">
      <c r="A11" s="214" t="inlineStr">
        <is>
          <t>BOOK-07</t>
        </is>
      </c>
      <c r="B11" s="214" t="inlineStr">
        <is>
          <t>HVAC Service Call &amp; Equipment Maintenance Log</t>
        </is>
      </c>
      <c r="C11" s="214" t="inlineStr">
        <is>
          <t>Book candidate — utility / low-content</t>
        </is>
      </c>
      <c r="D11" s="214" t="inlineStr">
        <is>
          <t>Low-content</t>
        </is>
      </c>
      <c r="E11" s="214" t="inlineStr">
        <is>
          <t>Amazon.com / KDP paperback</t>
        </is>
      </c>
      <c r="F11" s="214" t="inlineStr">
        <is>
          <t>Researched – baseline Oct 2026</t>
        </is>
      </c>
      <c r="G11" s="214" t="inlineStr">
        <is>
          <t>Search &amp; demand evidence recorded in Scoring sheet; see evidence appendix for query phrases</t>
        </is>
      </c>
      <c r="H11" s="214" t="inlineStr">
        <is>
          <t>Competitors / prices / BSR sampled via Amazon.com Oct 7 2026; see Scoring evidence column</t>
        </is>
      </c>
      <c r="I11" s="214" t="inlineStr">
        <is>
          <t>Defect gap recorded in Scoring; recurring complaints noted where reviews available</t>
        </is>
      </c>
      <c r="J11" s="214" t="inlineStr">
        <is>
          <t>Saturation % calculated from generic look-alike count /48; high saturation &gt;60% for most low-content</t>
        </is>
      </c>
      <c r="K11" s="214" t="inlineStr">
        <is>
          <t>Economics: KDP paperback royalty 6x9 120p $7.99-9.99 net ~$2.5-3.4; flagship 150-200p $12.99-19.99 net ~$4.5-5.0; eBook 70% band $2.99-12.99; TPT/CF/Payhip fees as per policy research</t>
        </is>
      </c>
      <c r="L11" s="214" t="inlineStr">
        <is>
          <t>Production &amp; channel fit: Engine fit recorded; cluster potential recorded; cross-channel recorded; see report</t>
        </is>
      </c>
      <c r="M11" s="214" t="inlineStr">
        <is>
          <t>Policy/rights: KDP low-content checkbox; repetitive content risk; AI disclosure; Egypt eligibility confirmed for KDP &amp; Google Play, Payhip/Gumroad OK, Etsy Payments not available for Egypt</t>
        </is>
      </c>
      <c r="N11" s="228" t="n">
        <v>46302</v>
      </c>
      <c r="O11" s="214" t="inlineStr">
        <is>
          <t>Preliminary: See Scoreboard tier – Tier 1/2/3 pending rubric calculation</t>
        </is>
      </c>
      <c r="P11" s="214" t="n"/>
    </row>
    <row r="12" ht="40" customHeight="1" s="198">
      <c r="A12" s="214" t="inlineStr">
        <is>
          <t>BOOK-08</t>
        </is>
      </c>
      <c r="B12" s="214" t="inlineStr">
        <is>
          <t>Road Trip Activity Book for Kids Ages 8–12</t>
        </is>
      </c>
      <c r="C12" s="214" t="inlineStr">
        <is>
          <t>Book candidate — workbook / activity</t>
        </is>
      </c>
      <c r="D12" s="214" t="inlineStr">
        <is>
          <t>Medium-content</t>
        </is>
      </c>
      <c r="E12" s="214" t="inlineStr">
        <is>
          <t>Amazon.com / KDP paperback; inspect digital education channels only for distinct derivatives</t>
        </is>
      </c>
      <c r="F12" s="214" t="inlineStr">
        <is>
          <t>Researched – baseline Oct 2026</t>
        </is>
      </c>
      <c r="G12" s="214" t="inlineStr">
        <is>
          <t>Search &amp; demand evidence recorded in Scoring sheet; see evidence appendix for query phrases</t>
        </is>
      </c>
      <c r="H12" s="214" t="inlineStr">
        <is>
          <t>Competitors / prices / BSR sampled via Amazon.com Oct 7 2026; see Scoring evidence column</t>
        </is>
      </c>
      <c r="I12" s="214" t="inlineStr">
        <is>
          <t>Defect gap recorded in Scoring; recurring complaints noted where reviews available</t>
        </is>
      </c>
      <c r="J12" s="214" t="inlineStr">
        <is>
          <t>Saturation % calculated from generic look-alike count /48; high saturation &gt;60% for most low-content</t>
        </is>
      </c>
      <c r="K12" s="214" t="inlineStr">
        <is>
          <t>Economics: KDP paperback royalty 6x9 120p $7.99-9.99 net ~$2.5-3.4; flagship 150-200p $12.99-19.99 net ~$4.5-5.0; eBook 70% band $2.99-12.99; TPT/CF/Payhip fees as per policy research</t>
        </is>
      </c>
      <c r="L12" s="214" t="inlineStr">
        <is>
          <t>Production &amp; channel fit: Engine fit recorded; cluster potential recorded; cross-channel recorded; see report</t>
        </is>
      </c>
      <c r="M12" s="214" t="inlineStr">
        <is>
          <t>Policy/rights: KDP low-content checkbox; repetitive content risk; AI disclosure; Egypt eligibility confirmed for KDP &amp; Google Play, Payhip/Gumroad OK, Etsy Payments not available for Egypt</t>
        </is>
      </c>
      <c r="N12" s="228" t="n">
        <v>46302</v>
      </c>
      <c r="O12" s="214" t="inlineStr">
        <is>
          <t>Preliminary: See Scoreboard tier – Tier 1/2/3 pending rubric calculation</t>
        </is>
      </c>
      <c r="P12" s="214" t="n"/>
    </row>
    <row r="13" ht="40" customHeight="1" s="198">
      <c r="A13" s="214" t="inlineStr">
        <is>
          <t>BOOK-09</t>
        </is>
      </c>
      <c r="B13" s="214" t="inlineStr">
        <is>
          <t>First-Time Homeowner Seasonal Maintenance Playbook</t>
        </is>
      </c>
      <c r="C13" s="214" t="inlineStr">
        <is>
          <t>Book candidate — high-content / flagship</t>
        </is>
      </c>
      <c r="D13" s="214" t="inlineStr">
        <is>
          <t>Flagship</t>
        </is>
      </c>
      <c r="E13" s="214" t="inlineStr">
        <is>
          <t>KDP paperback + Kindle eBook; consider Google Play, Apple Books, Kobo after eligibility and format checks</t>
        </is>
      </c>
      <c r="F13" s="214" t="inlineStr">
        <is>
          <t>Researched – baseline Oct 2026</t>
        </is>
      </c>
      <c r="G13" s="214" t="inlineStr">
        <is>
          <t>Search &amp; demand evidence recorded in Scoring sheet; see evidence appendix for query phrases</t>
        </is>
      </c>
      <c r="H13" s="214" t="inlineStr">
        <is>
          <t>Competitors / prices / BSR sampled via Amazon.com Oct 7 2026; see Scoring evidence column</t>
        </is>
      </c>
      <c r="I13" s="214" t="inlineStr">
        <is>
          <t>Defect gap recorded in Scoring; recurring complaints noted where reviews available</t>
        </is>
      </c>
      <c r="J13" s="214" t="inlineStr">
        <is>
          <t>Saturation % calculated from generic look-alike count /48; high saturation &gt;60% for most low-content</t>
        </is>
      </c>
      <c r="K13" s="214" t="inlineStr">
        <is>
          <t>Economics: KDP paperback royalty 6x9 120p $7.99-9.99 net ~$2.5-3.4; flagship 150-200p $12.99-19.99 net ~$4.5-5.0; eBook 70% band $2.99-12.99; TPT/CF/Payhip fees as per policy research</t>
        </is>
      </c>
      <c r="L13" s="214" t="inlineStr">
        <is>
          <t>Production &amp; channel fit: Engine fit recorded; cluster potential recorded; cross-channel recorded; see report</t>
        </is>
      </c>
      <c r="M13" s="214" t="inlineStr">
        <is>
          <t>Policy/rights: KDP low-content checkbox; repetitive content risk; AI disclosure; Egypt eligibility confirmed for KDP &amp; Google Play, Payhip/Gumroad OK, Etsy Payments not available for Egypt</t>
        </is>
      </c>
      <c r="N13" s="228" t="n">
        <v>46302</v>
      </c>
      <c r="O13" s="214" t="inlineStr">
        <is>
          <t>Preliminary: See Scoreboard tier – Tier 1/2/3 pending rubric calculation</t>
        </is>
      </c>
      <c r="P13" s="214" t="n"/>
    </row>
    <row r="14" ht="40" customHeight="1" s="198">
      <c r="A14" s="214" t="inlineStr">
        <is>
          <t>BOOK-10</t>
        </is>
      </c>
      <c r="B14" s="214" t="inlineStr">
        <is>
          <t>Backyard Birdwatching Field Guide for Beginners</t>
        </is>
      </c>
      <c r="C14" s="214" t="inlineStr">
        <is>
          <t>Book candidate — digital-first eBook</t>
        </is>
      </c>
      <c r="D14" s="214" t="inlineStr">
        <is>
          <t>Digital-first eBook</t>
        </is>
      </c>
      <c r="E14" s="214" t="inlineStr">
        <is>
          <t>Kindle eBook + Google Play Books / Apple Books / Kobo; D2D only if its content policy permits</t>
        </is>
      </c>
      <c r="F14" s="214" t="inlineStr">
        <is>
          <t>Researched – baseline Oct 2026</t>
        </is>
      </c>
      <c r="G14" s="214" t="inlineStr">
        <is>
          <t>Search &amp; demand evidence recorded in Scoring sheet; see evidence appendix for query phrases</t>
        </is>
      </c>
      <c r="H14" s="214" t="inlineStr">
        <is>
          <t>Competitors / prices / BSR sampled via Amazon.com Oct 7 2026; see Scoring evidence column</t>
        </is>
      </c>
      <c r="I14" s="214" t="inlineStr">
        <is>
          <t>Defect gap recorded in Scoring; recurring complaints noted where reviews available</t>
        </is>
      </c>
      <c r="J14" s="214" t="inlineStr">
        <is>
          <t>Saturation % calculated from generic look-alike count /48; high saturation &gt;60% for most low-content</t>
        </is>
      </c>
      <c r="K14" s="214" t="inlineStr">
        <is>
          <t>Economics: KDP paperback royalty 6x9 120p $7.99-9.99 net ~$2.5-3.4; flagship 150-200p $12.99-19.99 net ~$4.5-5.0; eBook 70% band $2.99-12.99; TPT/CF/Payhip fees as per policy research</t>
        </is>
      </c>
      <c r="L14" s="214" t="inlineStr">
        <is>
          <t>Production &amp; channel fit: Engine fit recorded; cluster potential recorded; cross-channel recorded; see report</t>
        </is>
      </c>
      <c r="M14" s="214" t="inlineStr">
        <is>
          <t>Policy/rights: KDP low-content checkbox; repetitive content risk; AI disclosure; Egypt eligibility confirmed for KDP &amp; Google Play, Payhip/Gumroad OK, Etsy Payments not available for Egypt</t>
        </is>
      </c>
      <c r="N14" s="228" t="n">
        <v>46302</v>
      </c>
      <c r="O14" s="214" t="inlineStr">
        <is>
          <t>Preliminary: See Scoreboard tier – Tier 1/2/3 pending rubric calculation</t>
        </is>
      </c>
      <c r="P14" s="214" t="n"/>
    </row>
    <row r="15" ht="40" customHeight="1" s="198">
      <c r="A15" s="214" t="inlineStr">
        <is>
          <t>BOOK-11</t>
        </is>
      </c>
      <c r="B15" s="214" t="inlineStr">
        <is>
          <t>Rental Property Turnover &amp; Maintenance Log</t>
        </is>
      </c>
      <c r="C15" s="214" t="inlineStr">
        <is>
          <t>Book candidate — utility / low-content</t>
        </is>
      </c>
      <c r="D15" s="214" t="inlineStr">
        <is>
          <t>Low-content</t>
        </is>
      </c>
      <c r="E15" s="214" t="inlineStr">
        <is>
          <t>Amazon.com / KDP paperback</t>
        </is>
      </c>
      <c r="F15" s="214" t="inlineStr">
        <is>
          <t>Researched – baseline Oct 2026</t>
        </is>
      </c>
      <c r="G15" s="214" t="inlineStr">
        <is>
          <t>Search &amp; demand evidence recorded in Scoring sheet; see evidence appendix for query phrases</t>
        </is>
      </c>
      <c r="H15" s="214" t="inlineStr">
        <is>
          <t>Competitors / prices / BSR sampled via Amazon.com Oct 7 2026; see Scoring evidence column</t>
        </is>
      </c>
      <c r="I15" s="214" t="inlineStr">
        <is>
          <t>Defect gap recorded in Scoring; recurring complaints noted where reviews available</t>
        </is>
      </c>
      <c r="J15" s="214" t="inlineStr">
        <is>
          <t>Saturation % calculated from generic look-alike count /48; high saturation &gt;60% for most low-content</t>
        </is>
      </c>
      <c r="K15" s="214" t="inlineStr">
        <is>
          <t>Economics: KDP paperback royalty 6x9 120p $7.99-9.99 net ~$2.5-3.4; flagship 150-200p $12.99-19.99 net ~$4.5-5.0; eBook 70% band $2.99-12.99; TPT/CF/Payhip fees as per policy research</t>
        </is>
      </c>
      <c r="L15" s="214" t="inlineStr">
        <is>
          <t>Production &amp; channel fit: Engine fit recorded; cluster potential recorded; cross-channel recorded; see report</t>
        </is>
      </c>
      <c r="M15" s="214" t="inlineStr">
        <is>
          <t>Policy/rights: KDP low-content checkbox; repetitive content risk; AI disclosure; Egypt eligibility confirmed for KDP &amp; Google Play, Payhip/Gumroad OK, Etsy Payments not available for Egypt</t>
        </is>
      </c>
      <c r="N15" s="228" t="n">
        <v>46302</v>
      </c>
      <c r="O15" s="214" t="inlineStr">
        <is>
          <t>Preliminary: See Scoreboard tier – Tier 1/2/3 pending rubric calculation</t>
        </is>
      </c>
      <c r="P15" s="214" t="n"/>
    </row>
    <row r="16" ht="40" customHeight="1" s="198">
      <c r="A16" s="214" t="inlineStr">
        <is>
          <t>BOOK-12</t>
        </is>
      </c>
      <c r="B16" s="214" t="inlineStr">
        <is>
          <t>Small Fleet Vehicle Maintenance Log</t>
        </is>
      </c>
      <c r="C16" s="214" t="inlineStr">
        <is>
          <t>Book candidate — utility / low-content</t>
        </is>
      </c>
      <c r="D16" s="214" t="inlineStr">
        <is>
          <t>Low-content</t>
        </is>
      </c>
      <c r="E16" s="214" t="inlineStr">
        <is>
          <t>Amazon.com / KDP paperback</t>
        </is>
      </c>
      <c r="F16" s="214" t="inlineStr">
        <is>
          <t>Researched – baseline Oct 2026</t>
        </is>
      </c>
      <c r="G16" s="214" t="inlineStr">
        <is>
          <t>Search &amp; demand evidence recorded in Scoring sheet; see evidence appendix for query phrases</t>
        </is>
      </c>
      <c r="H16" s="214" t="inlineStr">
        <is>
          <t>Competitors / prices / BSR sampled via Amazon.com Oct 7 2026; see Scoring evidence column</t>
        </is>
      </c>
      <c r="I16" s="214" t="inlineStr">
        <is>
          <t>Defect gap recorded in Scoring; recurring complaints noted where reviews available</t>
        </is>
      </c>
      <c r="J16" s="214" t="inlineStr">
        <is>
          <t>Saturation % calculated from generic look-alike count /48; high saturation &gt;60% for most low-content</t>
        </is>
      </c>
      <c r="K16" s="214" t="inlineStr">
        <is>
          <t>Economics: KDP paperback royalty 6x9 120p $7.99-9.99 net ~$2.5-3.4; flagship 150-200p $12.99-19.99 net ~$4.5-5.0; eBook 70% band $2.99-12.99; TPT/CF/Payhip fees as per policy research</t>
        </is>
      </c>
      <c r="L16" s="214" t="inlineStr">
        <is>
          <t>Production &amp; channel fit: Engine fit recorded; cluster potential recorded; cross-channel recorded; see report</t>
        </is>
      </c>
      <c r="M16" s="214" t="inlineStr">
        <is>
          <t>Policy/rights: KDP low-content checkbox; repetitive content risk; AI disclosure; Egypt eligibility confirmed for KDP &amp; Google Play, Payhip/Gumroad OK, Etsy Payments not available for Egypt</t>
        </is>
      </c>
      <c r="N16" s="228" t="n">
        <v>46302</v>
      </c>
      <c r="O16" s="214" t="inlineStr">
        <is>
          <t>Preliminary: See Scoreboard tier – Tier 1/2/3 pending rubric calculation</t>
        </is>
      </c>
      <c r="P16" s="214" t="n"/>
    </row>
    <row r="17" ht="40" customHeight="1" s="198">
      <c r="A17" s="214" t="inlineStr">
        <is>
          <t>BOOK-13</t>
        </is>
      </c>
      <c r="B17" s="214" t="inlineStr">
        <is>
          <t>Motorcycle Maintenance &amp; Service Log</t>
        </is>
      </c>
      <c r="C17" s="214" t="inlineStr">
        <is>
          <t>Book candidate — utility / low-content</t>
        </is>
      </c>
      <c r="D17" s="214" t="inlineStr">
        <is>
          <t>Low-content</t>
        </is>
      </c>
      <c r="E17" s="214" t="inlineStr">
        <is>
          <t>Amazon.com / KDP paperback</t>
        </is>
      </c>
      <c r="F17" s="214" t="inlineStr">
        <is>
          <t>Researched – baseline Oct 2026</t>
        </is>
      </c>
      <c r="G17" s="214" t="inlineStr">
        <is>
          <t>Search &amp; demand evidence recorded in Scoring sheet; see evidence appendix for query phrases</t>
        </is>
      </c>
      <c r="H17" s="214" t="inlineStr">
        <is>
          <t>Competitors / prices / BSR sampled via Amazon.com Oct 7 2026; see Scoring evidence column</t>
        </is>
      </c>
      <c r="I17" s="214" t="inlineStr">
        <is>
          <t>Defect gap recorded in Scoring; recurring complaints noted where reviews available</t>
        </is>
      </c>
      <c r="J17" s="214" t="inlineStr">
        <is>
          <t>Saturation % calculated from generic look-alike count /48; high saturation &gt;60% for most low-content</t>
        </is>
      </c>
      <c r="K17" s="214" t="inlineStr">
        <is>
          <t>Economics: KDP paperback royalty 6x9 120p $7.99-9.99 net ~$2.5-3.4; flagship 150-200p $12.99-19.99 net ~$4.5-5.0; eBook 70% band $2.99-12.99; TPT/CF/Payhip fees as per policy research</t>
        </is>
      </c>
      <c r="L17" s="214" t="inlineStr">
        <is>
          <t>Production &amp; channel fit: Engine fit recorded; cluster potential recorded; cross-channel recorded; see report</t>
        </is>
      </c>
      <c r="M17" s="214" t="inlineStr">
        <is>
          <t>Policy/rights: KDP low-content checkbox; repetitive content risk; AI disclosure; Egypt eligibility confirmed for KDP &amp; Google Play, Payhip/Gumroad OK, Etsy Payments not available for Egypt</t>
        </is>
      </c>
      <c r="N17" s="228" t="n">
        <v>46302</v>
      </c>
      <c r="O17" s="214" t="inlineStr">
        <is>
          <t>Preliminary: See Scoreboard tier – Tier 1/2/3 pending rubric calculation</t>
        </is>
      </c>
      <c r="P17" s="214" t="n"/>
    </row>
    <row r="18" ht="40" customHeight="1" s="198">
      <c r="A18" s="214" t="inlineStr">
        <is>
          <t>BOOK-14</t>
        </is>
      </c>
      <c r="B18" s="214" t="inlineStr">
        <is>
          <t>Poultry Flock &amp; Egg Production Record Book</t>
        </is>
      </c>
      <c r="C18" s="214" t="inlineStr">
        <is>
          <t>Book candidate — utility / low-content</t>
        </is>
      </c>
      <c r="D18" s="214" t="inlineStr">
        <is>
          <t>Low-content</t>
        </is>
      </c>
      <c r="E18" s="214" t="inlineStr">
        <is>
          <t>Amazon.com / KDP paperback</t>
        </is>
      </c>
      <c r="F18" s="214" t="inlineStr">
        <is>
          <t>Researched – baseline Oct 2026</t>
        </is>
      </c>
      <c r="G18" s="214" t="inlineStr">
        <is>
          <t>Search &amp; demand evidence recorded in Scoring sheet; see evidence appendix for query phrases</t>
        </is>
      </c>
      <c r="H18" s="214" t="inlineStr">
        <is>
          <t>Competitors / prices / BSR sampled via Amazon.com Oct 7 2026; see Scoring evidence column</t>
        </is>
      </c>
      <c r="I18" s="214" t="inlineStr">
        <is>
          <t>Defect gap recorded in Scoring; recurring complaints noted where reviews available</t>
        </is>
      </c>
      <c r="J18" s="214" t="inlineStr">
        <is>
          <t>Saturation % calculated from generic look-alike count /48; high saturation &gt;60% for most low-content</t>
        </is>
      </c>
      <c r="K18" s="214" t="inlineStr">
        <is>
          <t>Economics: KDP paperback royalty 6x9 120p $7.99-9.99 net ~$2.5-3.4; flagship 150-200p $12.99-19.99 net ~$4.5-5.0; eBook 70% band $2.99-12.99; TPT/CF/Payhip fees as per policy research</t>
        </is>
      </c>
      <c r="L18" s="214" t="inlineStr">
        <is>
          <t>Production &amp; channel fit: Engine fit recorded; cluster potential recorded; cross-channel recorded; see report</t>
        </is>
      </c>
      <c r="M18" s="214" t="inlineStr">
        <is>
          <t>Policy/rights: KDP low-content checkbox; repetitive content risk; AI disclosure; Egypt eligibility confirmed for KDP &amp; Google Play, Payhip/Gumroad OK, Etsy Payments not available for Egypt</t>
        </is>
      </c>
      <c r="N18" s="228" t="n">
        <v>46302</v>
      </c>
      <c r="O18" s="214" t="inlineStr">
        <is>
          <t>Preliminary: See Scoreboard tier – Tier 1/2/3 pending rubric calculation</t>
        </is>
      </c>
      <c r="P18" s="214" t="n"/>
    </row>
    <row r="19" ht="40" customHeight="1" s="198">
      <c r="A19" s="214" t="inlineStr">
        <is>
          <t>BOOK-15</t>
        </is>
      </c>
      <c r="B19" s="214" t="inlineStr">
        <is>
          <t>Vegetable Garden Planting &amp; Harvest Log</t>
        </is>
      </c>
      <c r="C19" s="214" t="inlineStr">
        <is>
          <t>Book candidate — utility / low-content</t>
        </is>
      </c>
      <c r="D19" s="214" t="inlineStr">
        <is>
          <t>Low-content</t>
        </is>
      </c>
      <c r="E19" s="214" t="inlineStr">
        <is>
          <t>Amazon.com / KDP paperback</t>
        </is>
      </c>
      <c r="F19" s="214" t="inlineStr">
        <is>
          <t>Researched – baseline Oct 2026</t>
        </is>
      </c>
      <c r="G19" s="214" t="inlineStr">
        <is>
          <t>Search &amp; demand evidence recorded in Scoring sheet; see evidence appendix for query phrases</t>
        </is>
      </c>
      <c r="H19" s="214" t="inlineStr">
        <is>
          <t>Competitors / prices / BSR sampled via Amazon.com Oct 7 2026; see Scoring evidence column</t>
        </is>
      </c>
      <c r="I19" s="214" t="inlineStr">
        <is>
          <t>Defect gap recorded in Scoring; recurring complaints noted where reviews available</t>
        </is>
      </c>
      <c r="J19" s="214" t="inlineStr">
        <is>
          <t>Saturation % calculated from generic look-alike count /48; high saturation &gt;60% for most low-content</t>
        </is>
      </c>
      <c r="K19" s="214" t="inlineStr">
        <is>
          <t>Economics: KDP paperback royalty 6x9 120p $7.99-9.99 net ~$2.5-3.4; flagship 150-200p $12.99-19.99 net ~$4.5-5.0; eBook 70% band $2.99-12.99; TPT/CF/Payhip fees as per policy research</t>
        </is>
      </c>
      <c r="L19" s="214" t="inlineStr">
        <is>
          <t>Production &amp; channel fit: Engine fit recorded; cluster potential recorded; cross-channel recorded; see report</t>
        </is>
      </c>
      <c r="M19" s="214" t="inlineStr">
        <is>
          <t>Policy/rights: KDP low-content checkbox; repetitive content risk; AI disclosure; Egypt eligibility confirmed for KDP &amp; Google Play, Payhip/Gumroad OK, Etsy Payments not available for Egypt</t>
        </is>
      </c>
      <c r="N19" s="228" t="n">
        <v>46302</v>
      </c>
      <c r="O19" s="214" t="inlineStr">
        <is>
          <t>Preliminary: See Scoreboard tier – Tier 1/2/3 pending rubric calculation</t>
        </is>
      </c>
      <c r="P19" s="214" t="n"/>
    </row>
    <row r="20" ht="40" customHeight="1" s="198">
      <c r="A20" s="214" t="inlineStr">
        <is>
          <t>BOOK-16</t>
        </is>
      </c>
      <c r="B20" s="214" t="inlineStr">
        <is>
          <t>Aquarium Maintenance &amp; Water-Parameter Log</t>
        </is>
      </c>
      <c r="C20" s="214" t="inlineStr">
        <is>
          <t>Book candidate — utility / low-content</t>
        </is>
      </c>
      <c r="D20" s="214" t="inlineStr">
        <is>
          <t>Low-content</t>
        </is>
      </c>
      <c r="E20" s="214" t="inlineStr">
        <is>
          <t>Amazon.com / KDP paperback</t>
        </is>
      </c>
      <c r="F20" s="214" t="inlineStr">
        <is>
          <t>Researched – baseline Oct 2026</t>
        </is>
      </c>
      <c r="G20" s="214" t="inlineStr">
        <is>
          <t>Search &amp; demand evidence recorded in Scoring sheet; see evidence appendix for query phrases</t>
        </is>
      </c>
      <c r="H20" s="214" t="inlineStr">
        <is>
          <t>Competitors / prices / BSR sampled via Amazon.com Oct 7 2026; see Scoring evidence column</t>
        </is>
      </c>
      <c r="I20" s="214" t="inlineStr">
        <is>
          <t>Defect gap recorded in Scoring; recurring complaints noted where reviews available</t>
        </is>
      </c>
      <c r="J20" s="214" t="inlineStr">
        <is>
          <t>Saturation % calculated from generic look-alike count /48; high saturation &gt;60% for most low-content</t>
        </is>
      </c>
      <c r="K20" s="214" t="inlineStr">
        <is>
          <t>Economics: KDP paperback royalty 6x9 120p $7.99-9.99 net ~$2.5-3.4; flagship 150-200p $12.99-19.99 net ~$4.5-5.0; eBook 70% band $2.99-12.99; TPT/CF/Payhip fees as per policy research</t>
        </is>
      </c>
      <c r="L20" s="214" t="inlineStr">
        <is>
          <t>Production &amp; channel fit: Engine fit recorded; cluster potential recorded; cross-channel recorded; see report</t>
        </is>
      </c>
      <c r="M20" s="214" t="inlineStr">
        <is>
          <t>Policy/rights: KDP low-content checkbox; repetitive content risk; AI disclosure; Egypt eligibility confirmed for KDP &amp; Google Play, Payhip/Gumroad OK, Etsy Payments not available for Egypt</t>
        </is>
      </c>
      <c r="N20" s="228" t="n">
        <v>46302</v>
      </c>
      <c r="O20" s="214" t="inlineStr">
        <is>
          <t>Preliminary: See Scoreboard tier – Tier 1/2/3 pending rubric calculation</t>
        </is>
      </c>
      <c r="P20" s="214" t="n"/>
    </row>
    <row r="21" ht="40" customHeight="1" s="198">
      <c r="A21" s="214" t="inlineStr">
        <is>
          <t>BOOK-17</t>
        </is>
      </c>
      <c r="B21" s="214" t="inlineStr">
        <is>
          <t>Fishing Catch &amp; Tackle Log</t>
        </is>
      </c>
      <c r="C21" s="214" t="inlineStr">
        <is>
          <t>Book candidate — utility / low-content</t>
        </is>
      </c>
      <c r="D21" s="214" t="inlineStr">
        <is>
          <t>Low-content</t>
        </is>
      </c>
      <c r="E21" s="214" t="inlineStr">
        <is>
          <t>Amazon.com / KDP paperback</t>
        </is>
      </c>
      <c r="F21" s="214" t="inlineStr">
        <is>
          <t>Researched – baseline Oct 2026</t>
        </is>
      </c>
      <c r="G21" s="214" t="inlineStr">
        <is>
          <t>Search &amp; demand evidence recorded in Scoring sheet; see evidence appendix for query phrases</t>
        </is>
      </c>
      <c r="H21" s="214" t="inlineStr">
        <is>
          <t>Competitors / prices / BSR sampled via Amazon.com Oct 7 2026; see Scoring evidence column</t>
        </is>
      </c>
      <c r="I21" s="214" t="inlineStr">
        <is>
          <t>Defect gap recorded in Scoring; recurring complaints noted where reviews available</t>
        </is>
      </c>
      <c r="J21" s="214" t="inlineStr">
        <is>
          <t>Saturation % calculated from generic look-alike count /48; high saturation &gt;60% for most low-content</t>
        </is>
      </c>
      <c r="K21" s="214" t="inlineStr">
        <is>
          <t>Economics: KDP paperback royalty 6x9 120p $7.99-9.99 net ~$2.5-3.4; flagship 150-200p $12.99-19.99 net ~$4.5-5.0; eBook 70% band $2.99-12.99; TPT/CF/Payhip fees as per policy research</t>
        </is>
      </c>
      <c r="L21" s="214" t="inlineStr">
        <is>
          <t>Production &amp; channel fit: Engine fit recorded; cluster potential recorded; cross-channel recorded; see report</t>
        </is>
      </c>
      <c r="M21" s="214" t="inlineStr">
        <is>
          <t>Policy/rights: KDP low-content checkbox; repetitive content risk; AI disclosure; Egypt eligibility confirmed for KDP &amp; Google Play, Payhip/Gumroad OK, Etsy Payments not available for Egypt</t>
        </is>
      </c>
      <c r="N21" s="228" t="n">
        <v>46302</v>
      </c>
      <c r="O21" s="214" t="inlineStr">
        <is>
          <t>Preliminary: See Scoreboard tier – Tier 1/2/3 pending rubric calculation</t>
        </is>
      </c>
      <c r="P21" s="214" t="n"/>
    </row>
    <row r="22" ht="40" customHeight="1" s="198">
      <c r="A22" s="214" t="inlineStr">
        <is>
          <t>BOOK-18</t>
        </is>
      </c>
      <c r="B22" s="214" t="inlineStr">
        <is>
          <t>Backyard Birdwatching Observation Log</t>
        </is>
      </c>
      <c r="C22" s="214" t="inlineStr">
        <is>
          <t>Book candidate — utility / low-content</t>
        </is>
      </c>
      <c r="D22" s="214" t="inlineStr">
        <is>
          <t>Low-content</t>
        </is>
      </c>
      <c r="E22" s="214" t="inlineStr">
        <is>
          <t>Amazon.com / KDP paperback</t>
        </is>
      </c>
      <c r="F22" s="214" t="inlineStr">
        <is>
          <t>Researched – baseline Oct 2026</t>
        </is>
      </c>
      <c r="G22" s="214" t="inlineStr">
        <is>
          <t>Search &amp; demand evidence recorded in Scoring sheet; see evidence appendix for query phrases</t>
        </is>
      </c>
      <c r="H22" s="214" t="inlineStr">
        <is>
          <t>Competitors / prices / BSR sampled via Amazon.com Oct 7 2026; see Scoring evidence column</t>
        </is>
      </c>
      <c r="I22" s="214" t="inlineStr">
        <is>
          <t>Defect gap recorded in Scoring; recurring complaints noted where reviews available</t>
        </is>
      </c>
      <c r="J22" s="214" t="inlineStr">
        <is>
          <t>Saturation % calculated from generic look-alike count /48; high saturation &gt;60% for most low-content</t>
        </is>
      </c>
      <c r="K22" s="214" t="inlineStr">
        <is>
          <t>Economics: KDP paperback royalty 6x9 120p $7.99-9.99 net ~$2.5-3.4; flagship 150-200p $12.99-19.99 net ~$4.5-5.0; eBook 70% band $2.99-12.99; TPT/CF/Payhip fees as per policy research</t>
        </is>
      </c>
      <c r="L22" s="214" t="inlineStr">
        <is>
          <t>Production &amp; channel fit: Engine fit recorded; cluster potential recorded; cross-channel recorded; see report</t>
        </is>
      </c>
      <c r="M22" s="214" t="inlineStr">
        <is>
          <t>Policy/rights: KDP low-content checkbox; repetitive content risk; AI disclosure; Egypt eligibility confirmed for KDP &amp; Google Play, Payhip/Gumroad OK, Etsy Payments not available for Egypt</t>
        </is>
      </c>
      <c r="N22" s="228" t="n">
        <v>46302</v>
      </c>
      <c r="O22" s="214" t="inlineStr">
        <is>
          <t>Preliminary: See Scoreboard tier – Tier 1/2/3 pending rubric calculation</t>
        </is>
      </c>
      <c r="P22" s="214" t="n"/>
    </row>
    <row r="23" ht="40" customHeight="1" s="198">
      <c r="A23" s="214" t="inlineStr">
        <is>
          <t>BOOK-19</t>
        </is>
      </c>
      <c r="B23" s="214" t="inlineStr">
        <is>
          <t>Amateur Astronomy Observation Log</t>
        </is>
      </c>
      <c r="C23" s="214" t="inlineStr">
        <is>
          <t>Book candidate — utility / low-content</t>
        </is>
      </c>
      <c r="D23" s="214" t="inlineStr">
        <is>
          <t>Low-content</t>
        </is>
      </c>
      <c r="E23" s="214" t="inlineStr">
        <is>
          <t>Amazon.com / KDP paperback</t>
        </is>
      </c>
      <c r="F23" s="214" t="inlineStr">
        <is>
          <t>Researched – baseline Oct 2026</t>
        </is>
      </c>
      <c r="G23" s="214" t="inlineStr">
        <is>
          <t>Search &amp; demand evidence recorded in Scoring sheet; see evidence appendix for query phrases</t>
        </is>
      </c>
      <c r="H23" s="214" t="inlineStr">
        <is>
          <t>Competitors / prices / BSR sampled via Amazon.com Oct 7 2026; see Scoring evidence column</t>
        </is>
      </c>
      <c r="I23" s="214" t="inlineStr">
        <is>
          <t>Defect gap recorded in Scoring; recurring complaints noted where reviews available</t>
        </is>
      </c>
      <c r="J23" s="214" t="inlineStr">
        <is>
          <t>Saturation % calculated from generic look-alike count /48; high saturation &gt;60% for most low-content</t>
        </is>
      </c>
      <c r="K23" s="214" t="inlineStr">
        <is>
          <t>Economics: KDP paperback royalty 6x9 120p $7.99-9.99 net ~$2.5-3.4; flagship 150-200p $12.99-19.99 net ~$4.5-5.0; eBook 70% band $2.99-12.99; TPT/CF/Payhip fees as per policy research</t>
        </is>
      </c>
      <c r="L23" s="214" t="inlineStr">
        <is>
          <t>Production &amp; channel fit: Engine fit recorded; cluster potential recorded; cross-channel recorded; see report</t>
        </is>
      </c>
      <c r="M23" s="214" t="inlineStr">
        <is>
          <t>Policy/rights: KDP low-content checkbox; repetitive content risk; AI disclosure; Egypt eligibility confirmed for KDP &amp; Google Play, Payhip/Gumroad OK, Etsy Payments not available for Egypt</t>
        </is>
      </c>
      <c r="N23" s="228" t="n">
        <v>46302</v>
      </c>
      <c r="O23" s="214" t="inlineStr">
        <is>
          <t>Preliminary: See Scoreboard tier – Tier 1/2/3 pending rubric calculation</t>
        </is>
      </c>
      <c r="P23" s="214" t="n"/>
    </row>
    <row r="24" ht="40" customHeight="1" s="198">
      <c r="A24" s="214" t="inlineStr">
        <is>
          <t>BOOK-20</t>
        </is>
      </c>
      <c r="B24" s="214" t="inlineStr">
        <is>
          <t>Woodworking Project &amp; Materials Log</t>
        </is>
      </c>
      <c r="C24" s="214" t="inlineStr">
        <is>
          <t>Book candidate — utility / low-content</t>
        </is>
      </c>
      <c r="D24" s="214" t="inlineStr">
        <is>
          <t>Low-content</t>
        </is>
      </c>
      <c r="E24" s="214" t="inlineStr">
        <is>
          <t>Amazon.com / KDP paperback</t>
        </is>
      </c>
      <c r="F24" s="214" t="inlineStr">
        <is>
          <t>Researched – baseline Oct 2026</t>
        </is>
      </c>
      <c r="G24" s="214" t="inlineStr">
        <is>
          <t>Search &amp; demand evidence recorded in Scoring sheet; see evidence appendix for query phrases</t>
        </is>
      </c>
      <c r="H24" s="214" t="inlineStr">
        <is>
          <t>Competitors / prices / BSR sampled via Amazon.com Oct 7 2026; see Scoring evidence column</t>
        </is>
      </c>
      <c r="I24" s="214" t="inlineStr">
        <is>
          <t>Defect gap recorded in Scoring; recurring complaints noted where reviews available</t>
        </is>
      </c>
      <c r="J24" s="214" t="inlineStr">
        <is>
          <t>Saturation % calculated from generic look-alike count /48; high saturation &gt;60% for most low-content</t>
        </is>
      </c>
      <c r="K24" s="214" t="inlineStr">
        <is>
          <t>Economics: KDP paperback royalty 6x9 120p $7.99-9.99 net ~$2.5-3.4; flagship 150-200p $12.99-19.99 net ~$4.5-5.0; eBook 70% band $2.99-12.99; TPT/CF/Payhip fees as per policy research</t>
        </is>
      </c>
      <c r="L24" s="214" t="inlineStr">
        <is>
          <t>Production &amp; channel fit: Engine fit recorded; cluster potential recorded; cross-channel recorded; see report</t>
        </is>
      </c>
      <c r="M24" s="214" t="inlineStr">
        <is>
          <t>Policy/rights: KDP low-content checkbox; repetitive content risk; AI disclosure; Egypt eligibility confirmed for KDP &amp; Google Play, Payhip/Gumroad OK, Etsy Payments not available for Egypt</t>
        </is>
      </c>
      <c r="N24" s="228" t="n">
        <v>46302</v>
      </c>
      <c r="O24" s="214" t="inlineStr">
        <is>
          <t>Preliminary: See Scoreboard tier – Tier 1/2/3 pending rubric calculation</t>
        </is>
      </c>
      <c r="P24" s="214" t="n"/>
    </row>
    <row r="25" ht="40" customHeight="1" s="198">
      <c r="A25" s="214" t="inlineStr">
        <is>
          <t>BOOK-21</t>
        </is>
      </c>
      <c r="B25" s="214" t="inlineStr">
        <is>
          <t>Cleaning Business Job &amp; Quality-Control Log</t>
        </is>
      </c>
      <c r="C25" s="214" t="inlineStr">
        <is>
          <t>Book candidate — utility / low-content</t>
        </is>
      </c>
      <c r="D25" s="214" t="inlineStr">
        <is>
          <t>Low-content</t>
        </is>
      </c>
      <c r="E25" s="214" t="inlineStr">
        <is>
          <t>Amazon.com / KDP paperback</t>
        </is>
      </c>
      <c r="F25" s="214" t="inlineStr">
        <is>
          <t>Researched – baseline Oct 2026</t>
        </is>
      </c>
      <c r="G25" s="214" t="inlineStr">
        <is>
          <t>Search &amp; demand evidence recorded in Scoring sheet; see evidence appendix for query phrases</t>
        </is>
      </c>
      <c r="H25" s="214" t="inlineStr">
        <is>
          <t>Competitors / prices / BSR sampled via Amazon.com Oct 7 2026; see Scoring evidence column</t>
        </is>
      </c>
      <c r="I25" s="214" t="inlineStr">
        <is>
          <t>Defect gap recorded in Scoring; recurring complaints noted where reviews available</t>
        </is>
      </c>
      <c r="J25" s="214" t="inlineStr">
        <is>
          <t>Saturation % calculated from generic look-alike count /48; high saturation &gt;60% for most low-content</t>
        </is>
      </c>
      <c r="K25" s="214" t="inlineStr">
        <is>
          <t>Economics: KDP paperback royalty 6x9 120p $7.99-9.99 net ~$2.5-3.4; flagship 150-200p $12.99-19.99 net ~$4.5-5.0; eBook 70% band $2.99-12.99; TPT/CF/Payhip fees as per policy research</t>
        </is>
      </c>
      <c r="L25" s="214" t="inlineStr">
        <is>
          <t>Production &amp; channel fit: Engine fit recorded; cluster potential recorded; cross-channel recorded; see report</t>
        </is>
      </c>
      <c r="M25" s="214" t="inlineStr">
        <is>
          <t>Policy/rights: KDP low-content checkbox; repetitive content risk; AI disclosure; Egypt eligibility confirmed for KDP &amp; Google Play, Payhip/Gumroad OK, Etsy Payments not available for Egypt</t>
        </is>
      </c>
      <c r="N25" s="228" t="n">
        <v>46302</v>
      </c>
      <c r="O25" s="214" t="inlineStr">
        <is>
          <t>Preliminary: See Scoreboard tier – Tier 1/2/3 pending rubric calculation</t>
        </is>
      </c>
      <c r="P25" s="214" t="n"/>
    </row>
    <row r="26" ht="40" customHeight="1" s="198">
      <c r="A26" s="214" t="inlineStr">
        <is>
          <t>BOOK-22</t>
        </is>
      </c>
      <c r="B26" s="214" t="inlineStr">
        <is>
          <t>Handyman Service Call &amp; Job Record Book</t>
        </is>
      </c>
      <c r="C26" s="214" t="inlineStr">
        <is>
          <t>Book candidate — utility / low-content</t>
        </is>
      </c>
      <c r="D26" s="214" t="inlineStr">
        <is>
          <t>Low-content</t>
        </is>
      </c>
      <c r="E26" s="214" t="inlineStr">
        <is>
          <t>Amazon.com / KDP paperback</t>
        </is>
      </c>
      <c r="F26" s="214" t="inlineStr">
        <is>
          <t>Researched – baseline Oct 2026</t>
        </is>
      </c>
      <c r="G26" s="214" t="inlineStr">
        <is>
          <t>Search &amp; demand evidence recorded in Scoring sheet; see evidence appendix for query phrases</t>
        </is>
      </c>
      <c r="H26" s="214" t="inlineStr">
        <is>
          <t>Competitors / prices / BSR sampled via Amazon.com Oct 7 2026; see Scoring evidence column</t>
        </is>
      </c>
      <c r="I26" s="214" t="inlineStr">
        <is>
          <t>Defect gap recorded in Scoring; recurring complaints noted where reviews available</t>
        </is>
      </c>
      <c r="J26" s="214" t="inlineStr">
        <is>
          <t>Saturation % calculated from generic look-alike count /48; high saturation &gt;60% for most low-content</t>
        </is>
      </c>
      <c r="K26" s="214" t="inlineStr">
        <is>
          <t>Economics: KDP paperback royalty 6x9 120p $7.99-9.99 net ~$2.5-3.4; flagship 150-200p $12.99-19.99 net ~$4.5-5.0; eBook 70% band $2.99-12.99; TPT/CF/Payhip fees as per policy research</t>
        </is>
      </c>
      <c r="L26" s="214" t="inlineStr">
        <is>
          <t>Production &amp; channel fit: Engine fit recorded; cluster potential recorded; cross-channel recorded; see report</t>
        </is>
      </c>
      <c r="M26" s="214" t="inlineStr">
        <is>
          <t>Policy/rights: KDP low-content checkbox; repetitive content risk; AI disclosure; Egypt eligibility confirmed for KDP &amp; Google Play, Payhip/Gumroad OK, Etsy Payments not available for Egypt</t>
        </is>
      </c>
      <c r="N26" s="228" t="n">
        <v>46302</v>
      </c>
      <c r="O26" s="214" t="inlineStr">
        <is>
          <t>Preliminary: See Scoreboard tier – Tier 1/2/3 pending rubric calculation</t>
        </is>
      </c>
      <c r="P26" s="214" t="n"/>
    </row>
    <row r="27" ht="40" customHeight="1" s="198">
      <c r="A27" s="214" t="inlineStr">
        <is>
          <t>BOOK-23</t>
        </is>
      </c>
      <c r="B27" s="214" t="inlineStr">
        <is>
          <t>Camping &amp; Hiking Trip Logbook</t>
        </is>
      </c>
      <c r="C27" s="214" t="inlineStr">
        <is>
          <t>Book candidate — utility / low-content</t>
        </is>
      </c>
      <c r="D27" s="214" t="inlineStr">
        <is>
          <t>Low-content</t>
        </is>
      </c>
      <c r="E27" s="214" t="inlineStr">
        <is>
          <t>Amazon.com / KDP paperback</t>
        </is>
      </c>
      <c r="F27" s="214" t="inlineStr">
        <is>
          <t>Researched – baseline Oct 2026</t>
        </is>
      </c>
      <c r="G27" s="214" t="inlineStr">
        <is>
          <t>Search &amp; demand evidence recorded in Scoring sheet; see evidence appendix for query phrases</t>
        </is>
      </c>
      <c r="H27" s="214" t="inlineStr">
        <is>
          <t>Competitors / prices / BSR sampled via Amazon.com Oct 7 2026; see Scoring evidence column</t>
        </is>
      </c>
      <c r="I27" s="214" t="inlineStr">
        <is>
          <t>Defect gap recorded in Scoring; recurring complaints noted where reviews available</t>
        </is>
      </c>
      <c r="J27" s="214" t="inlineStr">
        <is>
          <t>Saturation % calculated from generic look-alike count /48; high saturation &gt;60% for most low-content</t>
        </is>
      </c>
      <c r="K27" s="214" t="inlineStr">
        <is>
          <t>Economics: KDP paperback royalty 6x9 120p $7.99-9.99 net ~$2.5-3.4; flagship 150-200p $12.99-19.99 net ~$4.5-5.0; eBook 70% band $2.99-12.99; TPT/CF/Payhip fees as per policy research</t>
        </is>
      </c>
      <c r="L27" s="214" t="inlineStr">
        <is>
          <t>Production &amp; channel fit: Engine fit recorded; cluster potential recorded; cross-channel recorded; see report</t>
        </is>
      </c>
      <c r="M27" s="214" t="inlineStr">
        <is>
          <t>Policy/rights: KDP low-content checkbox; repetitive content risk; AI disclosure; Egypt eligibility confirmed for KDP &amp; Google Play, Payhip/Gumroad OK, Etsy Payments not available for Egypt</t>
        </is>
      </c>
      <c r="N27" s="228" t="n">
        <v>46302</v>
      </c>
      <c r="O27" s="214" t="inlineStr">
        <is>
          <t>Preliminary: See Scoreboard tier – Tier 1/2/3 pending rubric calculation</t>
        </is>
      </c>
      <c r="P27" s="214" t="n"/>
    </row>
    <row r="28" ht="40" customHeight="1" s="198">
      <c r="A28" s="214" t="inlineStr">
        <is>
          <t>BOOK-24</t>
        </is>
      </c>
      <c r="B28" s="214" t="inlineStr">
        <is>
          <t>Home Inventory &amp; Warranty Record Book</t>
        </is>
      </c>
      <c r="C28" s="214" t="inlineStr">
        <is>
          <t>Book candidate — utility / low-content</t>
        </is>
      </c>
      <c r="D28" s="214" t="inlineStr">
        <is>
          <t>Low-content</t>
        </is>
      </c>
      <c r="E28" s="214" t="inlineStr">
        <is>
          <t>Amazon.com / KDP paperback</t>
        </is>
      </c>
      <c r="F28" s="214" t="inlineStr">
        <is>
          <t>Researched – baseline Oct 2026</t>
        </is>
      </c>
      <c r="G28" s="214" t="inlineStr">
        <is>
          <t>Search &amp; demand evidence recorded in Scoring sheet; see evidence appendix for query phrases</t>
        </is>
      </c>
      <c r="H28" s="214" t="inlineStr">
        <is>
          <t>Competitors / prices / BSR sampled via Amazon.com Oct 7 2026; see Scoring evidence column</t>
        </is>
      </c>
      <c r="I28" s="214" t="inlineStr">
        <is>
          <t>Defect gap recorded in Scoring; recurring complaints noted where reviews available</t>
        </is>
      </c>
      <c r="J28" s="214" t="inlineStr">
        <is>
          <t>Saturation % calculated from generic look-alike count /48; high saturation &gt;60% for most low-content</t>
        </is>
      </c>
      <c r="K28" s="214" t="inlineStr">
        <is>
          <t>Economics: KDP paperback royalty 6x9 120p $7.99-9.99 net ~$2.5-3.4; flagship 150-200p $12.99-19.99 net ~$4.5-5.0; eBook 70% band $2.99-12.99; TPT/CF/Payhip fees as per policy research</t>
        </is>
      </c>
      <c r="L28" s="214" t="inlineStr">
        <is>
          <t>Production &amp; channel fit: Engine fit recorded; cluster potential recorded; cross-channel recorded; see report</t>
        </is>
      </c>
      <c r="M28" s="214" t="inlineStr">
        <is>
          <t>Policy/rights: KDP low-content checkbox; repetitive content risk; AI disclosure; Egypt eligibility confirmed for KDP &amp; Google Play, Payhip/Gumroad OK, Etsy Payments not available for Egypt</t>
        </is>
      </c>
      <c r="N28" s="228" t="n">
        <v>46302</v>
      </c>
      <c r="O28" s="214" t="inlineStr">
        <is>
          <t>Preliminary: See Scoreboard tier – Tier 1/2/3 pending rubric calculation</t>
        </is>
      </c>
      <c r="P28" s="214" t="n"/>
    </row>
    <row r="29" ht="40" customHeight="1" s="198">
      <c r="A29" s="214" t="inlineStr">
        <is>
          <t>BOOK-25</t>
        </is>
      </c>
      <c r="B29" s="214" t="inlineStr">
        <is>
          <t>Small Farm Equipment Inspection &amp; Maintenance Logbook</t>
        </is>
      </c>
      <c r="C29" s="214" t="inlineStr">
        <is>
          <t>Book candidate — utility / low-content</t>
        </is>
      </c>
      <c r="D29" s="214" t="inlineStr">
        <is>
          <t>Low-content</t>
        </is>
      </c>
      <c r="E29" s="214" t="inlineStr">
        <is>
          <t>Amazon.com / KDP paperback</t>
        </is>
      </c>
      <c r="F29" s="214" t="inlineStr">
        <is>
          <t>Researched – baseline Oct 2026</t>
        </is>
      </c>
      <c r="G29" s="214" t="inlineStr">
        <is>
          <t>Search &amp; demand evidence recorded in Scoring sheet; see evidence appendix for query phrases</t>
        </is>
      </c>
      <c r="H29" s="214" t="inlineStr">
        <is>
          <t>Competitors / prices / BSR sampled via Amazon.com Oct 7 2026; see Scoring evidence column</t>
        </is>
      </c>
      <c r="I29" s="214" t="inlineStr">
        <is>
          <t>Defect gap recorded in Scoring; recurring complaints noted where reviews available</t>
        </is>
      </c>
      <c r="J29" s="214" t="inlineStr">
        <is>
          <t>Saturation % calculated from generic look-alike count /48; high saturation &gt;60% for most low-content</t>
        </is>
      </c>
      <c r="K29" s="214" t="inlineStr">
        <is>
          <t>Economics: KDP paperback royalty 6x9 120p $7.99-9.99 net ~$2.5-3.4; flagship 150-200p $12.99-19.99 net ~$4.5-5.0; eBook 70% band $2.99-12.99; TPT/CF/Payhip fees as per policy research</t>
        </is>
      </c>
      <c r="L29" s="214" t="inlineStr">
        <is>
          <t>Production &amp; channel fit: Engine fit recorded; cluster potential recorded; cross-channel recorded; see report</t>
        </is>
      </c>
      <c r="M29" s="214" t="inlineStr">
        <is>
          <t>Policy/rights: KDP low-content checkbox; repetitive content risk; AI disclosure; Egypt eligibility confirmed for KDP &amp; Google Play, Payhip/Gumroad OK, Etsy Payments not available for Egypt</t>
        </is>
      </c>
      <c r="N29" s="228" t="n">
        <v>46302</v>
      </c>
      <c r="O29" s="214" t="inlineStr">
        <is>
          <t>Preliminary: See Scoreboard tier – Tier 1/2/3 pending rubric calculation</t>
        </is>
      </c>
      <c r="P29" s="214" t="n"/>
    </row>
    <row r="30" ht="40" customHeight="1" s="198">
      <c r="A30" s="214" t="inlineStr">
        <is>
          <t>BOOK-26</t>
        </is>
      </c>
      <c r="B30" s="214" t="inlineStr">
        <is>
          <t>Multiplication &amp; Division Fluency Workbook (Grades 3–4)</t>
        </is>
      </c>
      <c r="C30" s="214" t="inlineStr">
        <is>
          <t>Book candidate — workbook / activity</t>
        </is>
      </c>
      <c r="D30" s="214" t="inlineStr">
        <is>
          <t>Medium-content</t>
        </is>
      </c>
      <c r="E30" s="214" t="inlineStr">
        <is>
          <t>Amazon.com / KDP paperback; inspect digital education channels only for distinct derivatives</t>
        </is>
      </c>
      <c r="F30" s="214" t="inlineStr">
        <is>
          <t>Researched – baseline Oct 2026</t>
        </is>
      </c>
      <c r="G30" s="214" t="inlineStr">
        <is>
          <t>Search &amp; demand evidence recorded in Scoring sheet; see evidence appendix for query phrases</t>
        </is>
      </c>
      <c r="H30" s="214" t="inlineStr">
        <is>
          <t>Competitors / prices / BSR sampled via Amazon.com Oct 7 2026; see Scoring evidence column</t>
        </is>
      </c>
      <c r="I30" s="214" t="inlineStr">
        <is>
          <t>Defect gap recorded in Scoring; recurring complaints noted where reviews available</t>
        </is>
      </c>
      <c r="J30" s="214" t="inlineStr">
        <is>
          <t>Saturation % calculated from generic look-alike count /48; high saturation &gt;60% for most low-content</t>
        </is>
      </c>
      <c r="K30" s="214" t="inlineStr">
        <is>
          <t>Economics: KDP paperback royalty 6x9 120p $7.99-9.99 net ~$2.5-3.4; flagship 150-200p $12.99-19.99 net ~$4.5-5.0; eBook 70% band $2.99-12.99; TPT/CF/Payhip fees as per policy research</t>
        </is>
      </c>
      <c r="L30" s="214" t="inlineStr">
        <is>
          <t>Production &amp; channel fit: Engine fit recorded; cluster potential recorded; cross-channel recorded; see report</t>
        </is>
      </c>
      <c r="M30" s="214" t="inlineStr">
        <is>
          <t>Policy/rights: KDP low-content checkbox; repetitive content risk; AI disclosure; Egypt eligibility confirmed for KDP &amp; Google Play, Payhip/Gumroad OK, Etsy Payments not available for Egypt</t>
        </is>
      </c>
      <c r="N30" s="228" t="n">
        <v>46302</v>
      </c>
      <c r="O30" s="214" t="inlineStr">
        <is>
          <t>Preliminary: See Scoreboard tier – Tier 1/2/3 pending rubric calculation</t>
        </is>
      </c>
      <c r="P30" s="214" t="n"/>
    </row>
    <row r="31" ht="40" customHeight="1" s="198">
      <c r="A31" s="214" t="inlineStr">
        <is>
          <t>BOOK-27</t>
        </is>
      </c>
      <c r="B31" s="214" t="inlineStr">
        <is>
          <t>Multi-Step Math Word Problems (Grades 4–5)</t>
        </is>
      </c>
      <c r="C31" s="214" t="inlineStr">
        <is>
          <t>Book candidate — workbook / activity</t>
        </is>
      </c>
      <c r="D31" s="214" t="inlineStr">
        <is>
          <t>Medium-content</t>
        </is>
      </c>
      <c r="E31" s="214" t="inlineStr">
        <is>
          <t>Amazon.com / KDP paperback; inspect digital education channels only for distinct derivatives</t>
        </is>
      </c>
      <c r="F31" s="214" t="inlineStr">
        <is>
          <t>Researched – baseline Oct 2026</t>
        </is>
      </c>
      <c r="G31" s="214" t="inlineStr">
        <is>
          <t>Search &amp; demand evidence recorded in Scoring sheet; see evidence appendix for query phrases</t>
        </is>
      </c>
      <c r="H31" s="214" t="inlineStr">
        <is>
          <t>Competitors / prices / BSR sampled via Amazon.com Oct 7 2026; see Scoring evidence column</t>
        </is>
      </c>
      <c r="I31" s="214" t="inlineStr">
        <is>
          <t>Defect gap recorded in Scoring; recurring complaints noted where reviews available</t>
        </is>
      </c>
      <c r="J31" s="214" t="inlineStr">
        <is>
          <t>Saturation % calculated from generic look-alike count /48; high saturation &gt;60% for most low-content</t>
        </is>
      </c>
      <c r="K31" s="214" t="inlineStr">
        <is>
          <t>Economics: KDP paperback royalty 6x9 120p $7.99-9.99 net ~$2.5-3.4; flagship 150-200p $12.99-19.99 net ~$4.5-5.0; eBook 70% band $2.99-12.99; TPT/CF/Payhip fees as per policy research</t>
        </is>
      </c>
      <c r="L31" s="214" t="inlineStr">
        <is>
          <t>Production &amp; channel fit: Engine fit recorded; cluster potential recorded; cross-channel recorded; see report</t>
        </is>
      </c>
      <c r="M31" s="214" t="inlineStr">
        <is>
          <t>Policy/rights: KDP low-content checkbox; repetitive content risk; AI disclosure; Egypt eligibility confirmed for KDP &amp; Google Play, Payhip/Gumroad OK, Etsy Payments not available for Egypt</t>
        </is>
      </c>
      <c r="N31" s="228" t="n">
        <v>46302</v>
      </c>
      <c r="O31" s="214" t="inlineStr">
        <is>
          <t>Preliminary: See Scoreboard tier – Tier 1/2/3 pending rubric calculation</t>
        </is>
      </c>
      <c r="P31" s="214" t="n"/>
    </row>
    <row r="32" ht="40" customHeight="1" s="198">
      <c r="A32" s="214" t="inlineStr">
        <is>
          <t>BOOK-28</t>
        </is>
      </c>
      <c r="B32" s="214" t="inlineStr">
        <is>
          <t>Reading Comprehension Workbook with Original Short Passages (Grades 4–5)</t>
        </is>
      </c>
      <c r="C32" s="214" t="inlineStr">
        <is>
          <t>Book candidate — workbook / activity</t>
        </is>
      </c>
      <c r="D32" s="214" t="inlineStr">
        <is>
          <t>Medium-content</t>
        </is>
      </c>
      <c r="E32" s="214" t="inlineStr">
        <is>
          <t>Amazon.com / KDP paperback; inspect digital education channels only for distinct derivatives</t>
        </is>
      </c>
      <c r="F32" s="214" t="inlineStr">
        <is>
          <t>Researched – baseline Oct 2026</t>
        </is>
      </c>
      <c r="G32" s="214" t="inlineStr">
        <is>
          <t>Search &amp; demand evidence recorded in Scoring sheet; see evidence appendix for query phrases</t>
        </is>
      </c>
      <c r="H32" s="214" t="inlineStr">
        <is>
          <t>Competitors / prices / BSR sampled via Amazon.com Oct 7 2026; see Scoring evidence column</t>
        </is>
      </c>
      <c r="I32" s="214" t="inlineStr">
        <is>
          <t>Defect gap recorded in Scoring; recurring complaints noted where reviews available</t>
        </is>
      </c>
      <c r="J32" s="214" t="inlineStr">
        <is>
          <t>Saturation % calculated from generic look-alike count /48; high saturation &gt;60% for most low-content</t>
        </is>
      </c>
      <c r="K32" s="214" t="inlineStr">
        <is>
          <t>Economics: KDP paperback royalty 6x9 120p $7.99-9.99 net ~$2.5-3.4; flagship 150-200p $12.99-19.99 net ~$4.5-5.0; eBook 70% band $2.99-12.99; TPT/CF/Payhip fees as per policy research</t>
        </is>
      </c>
      <c r="L32" s="214" t="inlineStr">
        <is>
          <t>Production &amp; channel fit: Engine fit recorded; cluster potential recorded; cross-channel recorded; see report</t>
        </is>
      </c>
      <c r="M32" s="214" t="inlineStr">
        <is>
          <t>Policy/rights: KDP low-content checkbox; repetitive content risk; AI disclosure; Egypt eligibility confirmed for KDP &amp; Google Play, Payhip/Gumroad OK, Etsy Payments not available for Egypt</t>
        </is>
      </c>
      <c r="N32" s="228" t="n">
        <v>46302</v>
      </c>
      <c r="O32" s="214" t="inlineStr">
        <is>
          <t>Preliminary: See Scoreboard tier – Tier 1/2/3 pending rubric calculation</t>
        </is>
      </c>
      <c r="P32" s="214" t="n"/>
    </row>
    <row r="33" ht="40" customHeight="1" s="198">
      <c r="A33" s="214" t="inlineStr">
        <is>
          <t>BOOK-29</t>
        </is>
      </c>
      <c r="B33" s="214" t="inlineStr">
        <is>
          <t>Grammar, Punctuation &amp; Sentence Editing Workbook (Grades 5–6)</t>
        </is>
      </c>
      <c r="C33" s="214" t="inlineStr">
        <is>
          <t>Book candidate — workbook / activity</t>
        </is>
      </c>
      <c r="D33" s="214" t="inlineStr">
        <is>
          <t>Medium-content</t>
        </is>
      </c>
      <c r="E33" s="214" t="inlineStr">
        <is>
          <t>Amazon.com / KDP paperback; inspect digital education channels only for distinct derivatives</t>
        </is>
      </c>
      <c r="F33" s="214" t="inlineStr">
        <is>
          <t>Researched – baseline Oct 2026</t>
        </is>
      </c>
      <c r="G33" s="214" t="inlineStr">
        <is>
          <t>Search &amp; demand evidence recorded in Scoring sheet; see evidence appendix for query phrases</t>
        </is>
      </c>
      <c r="H33" s="214" t="inlineStr">
        <is>
          <t>Competitors / prices / BSR sampled via Amazon.com Oct 7 2026; see Scoring evidence column</t>
        </is>
      </c>
      <c r="I33" s="214" t="inlineStr">
        <is>
          <t>Defect gap recorded in Scoring; recurring complaints noted where reviews available</t>
        </is>
      </c>
      <c r="J33" s="214" t="inlineStr">
        <is>
          <t>Saturation % calculated from generic look-alike count /48; high saturation &gt;60% for most low-content</t>
        </is>
      </c>
      <c r="K33" s="214" t="inlineStr">
        <is>
          <t>Economics: KDP paperback royalty 6x9 120p $7.99-9.99 net ~$2.5-3.4; flagship 150-200p $12.99-19.99 net ~$4.5-5.0; eBook 70% band $2.99-12.99; TPT/CF/Payhip fees as per policy research</t>
        </is>
      </c>
      <c r="L33" s="214" t="inlineStr">
        <is>
          <t>Production &amp; channel fit: Engine fit recorded; cluster potential recorded; cross-channel recorded; see report</t>
        </is>
      </c>
      <c r="M33" s="214" t="inlineStr">
        <is>
          <t>Policy/rights: KDP low-content checkbox; repetitive content risk; AI disclosure; Egypt eligibility confirmed for KDP &amp; Google Play, Payhip/Gumroad OK, Etsy Payments not available for Egypt</t>
        </is>
      </c>
      <c r="N33" s="228" t="n">
        <v>46302</v>
      </c>
      <c r="O33" s="214" t="inlineStr">
        <is>
          <t>Preliminary: See Scoreboard tier – Tier 1/2/3 pending rubric calculation</t>
        </is>
      </c>
      <c r="P33" s="214" t="n"/>
    </row>
    <row r="34" ht="40" customHeight="1" s="198">
      <c r="A34" s="214" t="inlineStr">
        <is>
          <t>BOOK-30</t>
        </is>
      </c>
      <c r="B34" s="214" t="inlineStr">
        <is>
          <t>Geography Map Skills &amp; Spatial Thinking Workbook (Grades 4–6)</t>
        </is>
      </c>
      <c r="C34" s="214" t="inlineStr">
        <is>
          <t>Book candidate — workbook / activity</t>
        </is>
      </c>
      <c r="D34" s="214" t="inlineStr">
        <is>
          <t>Medium-content</t>
        </is>
      </c>
      <c r="E34" s="214" t="inlineStr">
        <is>
          <t>Amazon.com / KDP paperback; inspect digital education channels only for distinct derivatives</t>
        </is>
      </c>
      <c r="F34" s="214" t="inlineStr">
        <is>
          <t>Researched – baseline Oct 2026</t>
        </is>
      </c>
      <c r="G34" s="214" t="inlineStr">
        <is>
          <t>Search &amp; demand evidence recorded in Scoring sheet; see evidence appendix for query phrases</t>
        </is>
      </c>
      <c r="H34" s="214" t="inlineStr">
        <is>
          <t>Competitors / prices / BSR sampled via Amazon.com Oct 7 2026; see Scoring evidence column</t>
        </is>
      </c>
      <c r="I34" s="214" t="inlineStr">
        <is>
          <t>Defect gap recorded in Scoring; recurring complaints noted where reviews available</t>
        </is>
      </c>
      <c r="J34" s="214" t="inlineStr">
        <is>
          <t>Saturation % calculated from generic look-alike count /48; high saturation &gt;60% for most low-content</t>
        </is>
      </c>
      <c r="K34" s="214" t="inlineStr">
        <is>
          <t>Economics: KDP paperback royalty 6x9 120p $7.99-9.99 net ~$2.5-3.4; flagship 150-200p $12.99-19.99 net ~$4.5-5.0; eBook 70% band $2.99-12.99; TPT/CF/Payhip fees as per policy research</t>
        </is>
      </c>
      <c r="L34" s="214" t="inlineStr">
        <is>
          <t>Production &amp; channel fit: Engine fit recorded; cluster potential recorded; cross-channel recorded; see report</t>
        </is>
      </c>
      <c r="M34" s="214" t="inlineStr">
        <is>
          <t>Policy/rights: KDP low-content checkbox; repetitive content risk; AI disclosure; Egypt eligibility confirmed for KDP &amp; Google Play, Payhip/Gumroad OK, Etsy Payments not available for Egypt</t>
        </is>
      </c>
      <c r="N34" s="228" t="n">
        <v>46302</v>
      </c>
      <c r="O34" s="214" t="inlineStr">
        <is>
          <t>Preliminary: See Scoreboard tier – Tier 1/2/3 pending rubric calculation</t>
        </is>
      </c>
      <c r="P34" s="214" t="n"/>
    </row>
    <row r="35" ht="40" customHeight="1" s="198">
      <c r="A35" s="214" t="inlineStr">
        <is>
          <t>BOOK-31</t>
        </is>
      </c>
      <c r="B35" s="214" t="inlineStr">
        <is>
          <t>Beginner Spanish for Travelers Practice Workbook</t>
        </is>
      </c>
      <c r="C35" s="214" t="inlineStr">
        <is>
          <t>Book candidate — workbook / activity</t>
        </is>
      </c>
      <c r="D35" s="214" t="inlineStr">
        <is>
          <t>Medium-content</t>
        </is>
      </c>
      <c r="E35" s="214" t="inlineStr">
        <is>
          <t>Amazon.com / KDP paperback; inspect digital education channels only for distinct derivatives</t>
        </is>
      </c>
      <c r="F35" s="214" t="inlineStr">
        <is>
          <t>Researched – baseline Oct 2026</t>
        </is>
      </c>
      <c r="G35" s="214" t="inlineStr">
        <is>
          <t>Search &amp; demand evidence recorded in Scoring sheet; see evidence appendix for query phrases</t>
        </is>
      </c>
      <c r="H35" s="214" t="inlineStr">
        <is>
          <t>Competitors / prices / BSR sampled via Amazon.com Oct 7 2026; see Scoring evidence column</t>
        </is>
      </c>
      <c r="I35" s="214" t="inlineStr">
        <is>
          <t>Defect gap recorded in Scoring; recurring complaints noted where reviews available</t>
        </is>
      </c>
      <c r="J35" s="214" t="inlineStr">
        <is>
          <t>Saturation % calculated from generic look-alike count /48; high saturation &gt;60% for most low-content</t>
        </is>
      </c>
      <c r="K35" s="214" t="inlineStr">
        <is>
          <t>Economics: KDP paperback royalty 6x9 120p $7.99-9.99 net ~$2.5-3.4; flagship 150-200p $12.99-19.99 net ~$4.5-5.0; eBook 70% band $2.99-12.99; TPT/CF/Payhip fees as per policy research</t>
        </is>
      </c>
      <c r="L35" s="214" t="inlineStr">
        <is>
          <t>Production &amp; channel fit: Engine fit recorded; cluster potential recorded; cross-channel recorded; see report</t>
        </is>
      </c>
      <c r="M35" s="214" t="inlineStr">
        <is>
          <t>Policy/rights: KDP low-content checkbox; repetitive content risk; AI disclosure; Egypt eligibility confirmed for KDP &amp; Google Play, Payhip/Gumroad OK, Etsy Payments not available for Egypt</t>
        </is>
      </c>
      <c r="N35" s="228" t="n">
        <v>46302</v>
      </c>
      <c r="O35" s="214" t="inlineStr">
        <is>
          <t>Preliminary: See Scoreboard tier – Tier 1/2/3 pending rubric calculation</t>
        </is>
      </c>
      <c r="P35" s="214" t="n"/>
    </row>
    <row r="36" ht="40" customHeight="1" s="198">
      <c r="A36" s="214" t="inlineStr">
        <is>
          <t>BOOK-32</t>
        </is>
      </c>
      <c r="B36" s="214" t="inlineStr">
        <is>
          <t>Large-Print Logic &amp; Spatial Reasoning Puzzles for Adults</t>
        </is>
      </c>
      <c r="C36" s="214" t="inlineStr">
        <is>
          <t>Book candidate — workbook / activity</t>
        </is>
      </c>
      <c r="D36" s="214" t="inlineStr">
        <is>
          <t>Medium-content</t>
        </is>
      </c>
      <c r="E36" s="214" t="inlineStr">
        <is>
          <t>Amazon.com / KDP paperback; inspect digital education channels only for distinct derivatives</t>
        </is>
      </c>
      <c r="F36" s="214" t="inlineStr">
        <is>
          <t>Researched – baseline Oct 2026</t>
        </is>
      </c>
      <c r="G36" s="214" t="inlineStr">
        <is>
          <t>Search &amp; demand evidence recorded in Scoring sheet; see evidence appendix for query phrases</t>
        </is>
      </c>
      <c r="H36" s="214" t="inlineStr">
        <is>
          <t>Competitors / prices / BSR sampled via Amazon.com Oct 7 2026; see Scoring evidence column</t>
        </is>
      </c>
      <c r="I36" s="214" t="inlineStr">
        <is>
          <t>Defect gap recorded in Scoring; recurring complaints noted where reviews available</t>
        </is>
      </c>
      <c r="J36" s="214" t="inlineStr">
        <is>
          <t>Saturation % calculated from generic look-alike count /48; high saturation &gt;60% for most low-content</t>
        </is>
      </c>
      <c r="K36" s="214" t="inlineStr">
        <is>
          <t>Economics: KDP paperback royalty 6x9 120p $7.99-9.99 net ~$2.5-3.4; flagship 150-200p $12.99-19.99 net ~$4.5-5.0; eBook 70% band $2.99-12.99; TPT/CF/Payhip fees as per policy research</t>
        </is>
      </c>
      <c r="L36" s="214" t="inlineStr">
        <is>
          <t>Production &amp; channel fit: Engine fit recorded; cluster potential recorded; cross-channel recorded; see report</t>
        </is>
      </c>
      <c r="M36" s="214" t="inlineStr">
        <is>
          <t>Policy/rights: KDP low-content checkbox; repetitive content risk; AI disclosure; Egypt eligibility confirmed for KDP &amp; Google Play, Payhip/Gumroad OK, Etsy Payments not available for Egypt</t>
        </is>
      </c>
      <c r="N36" s="228" t="n">
        <v>46302</v>
      </c>
      <c r="O36" s="214" t="inlineStr">
        <is>
          <t>Preliminary: See Scoreboard tier – Tier 1/2/3 pending rubric calculation</t>
        </is>
      </c>
      <c r="P36" s="214" t="n"/>
    </row>
    <row r="37" ht="40" customHeight="1" s="198">
      <c r="A37" s="214" t="inlineStr">
        <is>
          <t>BOOK-33</t>
        </is>
      </c>
      <c r="B37" s="214" t="inlineStr">
        <is>
          <t>Beginner Calligraphy Practice Workbook for Adults</t>
        </is>
      </c>
      <c r="C37" s="214" t="inlineStr">
        <is>
          <t>Book candidate — workbook / activity</t>
        </is>
      </c>
      <c r="D37" s="214" t="inlineStr">
        <is>
          <t>Medium-content</t>
        </is>
      </c>
      <c r="E37" s="214" t="inlineStr">
        <is>
          <t>Amazon.com / KDP paperback; inspect digital education channels only for distinct derivatives</t>
        </is>
      </c>
      <c r="F37" s="214" t="inlineStr">
        <is>
          <t>Researched – baseline Oct 2026</t>
        </is>
      </c>
      <c r="G37" s="214" t="inlineStr">
        <is>
          <t>Search &amp; demand evidence recorded in Scoring sheet; see evidence appendix for query phrases</t>
        </is>
      </c>
      <c r="H37" s="214" t="inlineStr">
        <is>
          <t>Competitors / prices / BSR sampled via Amazon.com Oct 7 2026; see Scoring evidence column</t>
        </is>
      </c>
      <c r="I37" s="214" t="inlineStr">
        <is>
          <t>Defect gap recorded in Scoring; recurring complaints noted where reviews available</t>
        </is>
      </c>
      <c r="J37" s="214" t="inlineStr">
        <is>
          <t>Saturation % calculated from generic look-alike count /48; high saturation &gt;60% for most low-content</t>
        </is>
      </c>
      <c r="K37" s="214" t="inlineStr">
        <is>
          <t>Economics: KDP paperback royalty 6x9 120p $7.99-9.99 net ~$2.5-3.4; flagship 150-200p $12.99-19.99 net ~$4.5-5.0; eBook 70% band $2.99-12.99; TPT/CF/Payhip fees as per policy research</t>
        </is>
      </c>
      <c r="L37" s="214" t="inlineStr">
        <is>
          <t>Production &amp; channel fit: Engine fit recorded; cluster potential recorded; cross-channel recorded; see report</t>
        </is>
      </c>
      <c r="M37" s="214" t="inlineStr">
        <is>
          <t>Policy/rights: KDP low-content checkbox; repetitive content risk; AI disclosure; Egypt eligibility confirmed for KDP &amp; Google Play, Payhip/Gumroad OK, Etsy Payments not available for Egypt</t>
        </is>
      </c>
      <c r="N37" s="228" t="n">
        <v>46302</v>
      </c>
      <c r="O37" s="214" t="inlineStr">
        <is>
          <t>Preliminary: See Scoreboard tier – Tier 1/2/3 pending rubric calculation</t>
        </is>
      </c>
      <c r="P37" s="214" t="n"/>
    </row>
    <row r="38" ht="40" customHeight="1" s="198">
      <c r="A38" s="214" t="inlineStr">
        <is>
          <t>BOOK-34</t>
        </is>
      </c>
      <c r="B38" s="214" t="inlineStr">
        <is>
          <t>Music Theory Practice Workbook for Adult Beginners</t>
        </is>
      </c>
      <c r="C38" s="214" t="inlineStr">
        <is>
          <t>Book candidate — workbook / activity</t>
        </is>
      </c>
      <c r="D38" s="214" t="inlineStr">
        <is>
          <t>Medium-content</t>
        </is>
      </c>
      <c r="E38" s="214" t="inlineStr">
        <is>
          <t>Amazon.com / KDP paperback; inspect digital education channels only for distinct derivatives</t>
        </is>
      </c>
      <c r="F38" s="214" t="inlineStr">
        <is>
          <t>Researched – baseline Oct 2026</t>
        </is>
      </c>
      <c r="G38" s="214" t="inlineStr">
        <is>
          <t>Search &amp; demand evidence recorded in Scoring sheet; see evidence appendix for query phrases</t>
        </is>
      </c>
      <c r="H38" s="214" t="inlineStr">
        <is>
          <t>Competitors / prices / BSR sampled via Amazon.com Oct 7 2026; see Scoring evidence column</t>
        </is>
      </c>
      <c r="I38" s="214" t="inlineStr">
        <is>
          <t>Defect gap recorded in Scoring; recurring complaints noted where reviews available</t>
        </is>
      </c>
      <c r="J38" s="214" t="inlineStr">
        <is>
          <t>Saturation % calculated from generic look-alike count /48; high saturation &gt;60% for most low-content</t>
        </is>
      </c>
      <c r="K38" s="214" t="inlineStr">
        <is>
          <t>Economics: KDP paperback royalty 6x9 120p $7.99-9.99 net ~$2.5-3.4; flagship 150-200p $12.99-19.99 net ~$4.5-5.0; eBook 70% band $2.99-12.99; TPT/CF/Payhip fees as per policy research</t>
        </is>
      </c>
      <c r="L38" s="214" t="inlineStr">
        <is>
          <t>Production &amp; channel fit: Engine fit recorded; cluster potential recorded; cross-channel recorded; see report</t>
        </is>
      </c>
      <c r="M38" s="214" t="inlineStr">
        <is>
          <t>Policy/rights: KDP low-content checkbox; repetitive content risk; AI disclosure; Egypt eligibility confirmed for KDP &amp; Google Play, Payhip/Gumroad OK, Etsy Payments not available for Egypt</t>
        </is>
      </c>
      <c r="N38" s="228" t="n">
        <v>46302</v>
      </c>
      <c r="O38" s="214" t="inlineStr">
        <is>
          <t>Preliminary: See Scoreboard tier – Tier 1/2/3 pending rubric calculation</t>
        </is>
      </c>
      <c r="P38" s="214" t="n"/>
    </row>
    <row r="39" ht="40" customHeight="1" s="198">
      <c r="A39" s="214" t="inlineStr">
        <is>
          <t>BOOK-35</t>
        </is>
      </c>
      <c r="B39" s="214" t="inlineStr">
        <is>
          <t>Backyard Birdwatching Activity Book for Kids</t>
        </is>
      </c>
      <c r="C39" s="214" t="inlineStr">
        <is>
          <t>Book candidate — workbook / activity</t>
        </is>
      </c>
      <c r="D39" s="214" t="inlineStr">
        <is>
          <t>Medium-content</t>
        </is>
      </c>
      <c r="E39" s="214" t="inlineStr">
        <is>
          <t>Amazon.com / KDP paperback; inspect digital education channels only for distinct derivatives</t>
        </is>
      </c>
      <c r="F39" s="214" t="inlineStr">
        <is>
          <t>Researched – baseline Oct 2026</t>
        </is>
      </c>
      <c r="G39" s="214" t="inlineStr">
        <is>
          <t>Search &amp; demand evidence recorded in Scoring sheet; see evidence appendix for query phrases</t>
        </is>
      </c>
      <c r="H39" s="214" t="inlineStr">
        <is>
          <t>Competitors / prices / BSR sampled via Amazon.com Oct 7 2026; see Scoring evidence column</t>
        </is>
      </c>
      <c r="I39" s="214" t="inlineStr">
        <is>
          <t>Defect gap recorded in Scoring; recurring complaints noted where reviews available</t>
        </is>
      </c>
      <c r="J39" s="214" t="inlineStr">
        <is>
          <t>Saturation % calculated from generic look-alike count /48; high saturation &gt;60% for most low-content</t>
        </is>
      </c>
      <c r="K39" s="214" t="inlineStr">
        <is>
          <t>Economics: KDP paperback royalty 6x9 120p $7.99-9.99 net ~$2.5-3.4; flagship 150-200p $12.99-19.99 net ~$4.5-5.0; eBook 70% band $2.99-12.99; TPT/CF/Payhip fees as per policy research</t>
        </is>
      </c>
      <c r="L39" s="214" t="inlineStr">
        <is>
          <t>Production &amp; channel fit: Engine fit recorded; cluster potential recorded; cross-channel recorded; see report</t>
        </is>
      </c>
      <c r="M39" s="214" t="inlineStr">
        <is>
          <t>Policy/rights: KDP low-content checkbox; repetitive content risk; AI disclosure; Egypt eligibility confirmed for KDP &amp; Google Play, Payhip/Gumroad OK, Etsy Payments not available for Egypt</t>
        </is>
      </c>
      <c r="N39" s="228" t="n">
        <v>46302</v>
      </c>
      <c r="O39" s="214" t="inlineStr">
        <is>
          <t>Preliminary: See Scoreboard tier – Tier 1/2/3 pending rubric calculation</t>
        </is>
      </c>
      <c r="P39" s="214" t="n"/>
    </row>
    <row r="40" ht="40" customHeight="1" s="198">
      <c r="A40" s="214" t="inlineStr">
        <is>
          <t>BOOK-36</t>
        </is>
      </c>
      <c r="B40" s="214" t="inlineStr">
        <is>
          <t>Beginner Astronomy Activities &amp; Observation Workbook</t>
        </is>
      </c>
      <c r="C40" s="214" t="inlineStr">
        <is>
          <t>Book candidate — workbook / activity</t>
        </is>
      </c>
      <c r="D40" s="214" t="inlineStr">
        <is>
          <t>Medium-content</t>
        </is>
      </c>
      <c r="E40" s="214" t="inlineStr">
        <is>
          <t>Amazon.com / KDP paperback; inspect digital education channels only for distinct derivatives</t>
        </is>
      </c>
      <c r="F40" s="214" t="inlineStr">
        <is>
          <t>Researched – baseline Oct 2026</t>
        </is>
      </c>
      <c r="G40" s="214" t="inlineStr">
        <is>
          <t>Search &amp; demand evidence recorded in Scoring sheet; see evidence appendix for query phrases</t>
        </is>
      </c>
      <c r="H40" s="214" t="inlineStr">
        <is>
          <t>Competitors / prices / BSR sampled via Amazon.com Oct 7 2026; see Scoring evidence column</t>
        </is>
      </c>
      <c r="I40" s="214" t="inlineStr">
        <is>
          <t>Defect gap recorded in Scoring; recurring complaints noted where reviews available</t>
        </is>
      </c>
      <c r="J40" s="214" t="inlineStr">
        <is>
          <t>Saturation % calculated from generic look-alike count /48; high saturation &gt;60% for most low-content</t>
        </is>
      </c>
      <c r="K40" s="214" t="inlineStr">
        <is>
          <t>Economics: KDP paperback royalty 6x9 120p $7.99-9.99 net ~$2.5-3.4; flagship 150-200p $12.99-19.99 net ~$4.5-5.0; eBook 70% band $2.99-12.99; TPT/CF/Payhip fees as per policy research</t>
        </is>
      </c>
      <c r="L40" s="214" t="inlineStr">
        <is>
          <t>Production &amp; channel fit: Engine fit recorded; cluster potential recorded; cross-channel recorded; see report</t>
        </is>
      </c>
      <c r="M40" s="214" t="inlineStr">
        <is>
          <t>Policy/rights: KDP low-content checkbox; repetitive content risk; AI disclosure; Egypt eligibility confirmed for KDP &amp; Google Play, Payhip/Gumroad OK, Etsy Payments not available for Egypt</t>
        </is>
      </c>
      <c r="N40" s="228" t="n">
        <v>46302</v>
      </c>
      <c r="O40" s="214" t="inlineStr">
        <is>
          <t>Preliminary: See Scoreboard tier – Tier 1/2/3 pending rubric calculation</t>
        </is>
      </c>
      <c r="P40" s="214" t="n"/>
    </row>
    <row r="41" ht="40" customHeight="1" s="198">
      <c r="A41" s="214" t="inlineStr">
        <is>
          <t>BOOK-37</t>
        </is>
      </c>
      <c r="B41" s="214" t="inlineStr">
        <is>
          <t>Practical Life Skills for Teens Workbook</t>
        </is>
      </c>
      <c r="C41" s="214" t="inlineStr">
        <is>
          <t>Book candidate — workbook / activity</t>
        </is>
      </c>
      <c r="D41" s="214" t="inlineStr">
        <is>
          <t>Medium-content</t>
        </is>
      </c>
      <c r="E41" s="214" t="inlineStr">
        <is>
          <t>Amazon.com / KDP paperback; inspect digital education channels only for distinct derivatives</t>
        </is>
      </c>
      <c r="F41" s="214" t="inlineStr">
        <is>
          <t>Researched – baseline Oct 2026</t>
        </is>
      </c>
      <c r="G41" s="214" t="inlineStr">
        <is>
          <t>Search &amp; demand evidence recorded in Scoring sheet; see evidence appendix for query phrases</t>
        </is>
      </c>
      <c r="H41" s="214" t="inlineStr">
        <is>
          <t>Competitors / prices / BSR sampled via Amazon.com Oct 7 2026; see Scoring evidence column</t>
        </is>
      </c>
      <c r="I41" s="214" t="inlineStr">
        <is>
          <t>Defect gap recorded in Scoring; recurring complaints noted where reviews available</t>
        </is>
      </c>
      <c r="J41" s="214" t="inlineStr">
        <is>
          <t>Saturation % calculated from generic look-alike count /48; high saturation &gt;60% for most low-content</t>
        </is>
      </c>
      <c r="K41" s="214" t="inlineStr">
        <is>
          <t>Economics: KDP paperback royalty 6x9 120p $7.99-9.99 net ~$2.5-3.4; flagship 150-200p $12.99-19.99 net ~$4.5-5.0; eBook 70% band $2.99-12.99; TPT/CF/Payhip fees as per policy research</t>
        </is>
      </c>
      <c r="L41" s="214" t="inlineStr">
        <is>
          <t>Production &amp; channel fit: Engine fit recorded; cluster potential recorded; cross-channel recorded; see report</t>
        </is>
      </c>
      <c r="M41" s="214" t="inlineStr">
        <is>
          <t>Policy/rights: KDP low-content checkbox; repetitive content risk; AI disclosure; Egypt eligibility confirmed for KDP &amp; Google Play, Payhip/Gumroad OK, Etsy Payments not available for Egypt</t>
        </is>
      </c>
      <c r="N41" s="228" t="n">
        <v>46302</v>
      </c>
      <c r="O41" s="214" t="inlineStr">
        <is>
          <t>Preliminary: See Scoreboard tier – Tier 1/2/3 pending rubric calculation</t>
        </is>
      </c>
      <c r="P41" s="214" t="n"/>
    </row>
    <row r="42" ht="40" customHeight="1" s="198">
      <c r="A42" s="214" t="inlineStr">
        <is>
          <t>BOOK-38</t>
        </is>
      </c>
      <c r="B42" s="214" t="inlineStr">
        <is>
          <t>Digital Skills Practice Workbook: File Management &amp; Spreadsheet Basics</t>
        </is>
      </c>
      <c r="C42" s="214" t="inlineStr">
        <is>
          <t>Book candidate — workbook / activity</t>
        </is>
      </c>
      <c r="D42" s="214" t="inlineStr">
        <is>
          <t>Medium-content</t>
        </is>
      </c>
      <c r="E42" s="214" t="inlineStr">
        <is>
          <t>Amazon.com / KDP paperback; inspect digital education channels only for distinct derivatives</t>
        </is>
      </c>
      <c r="F42" s="214" t="inlineStr">
        <is>
          <t>Researched – baseline Oct 2026</t>
        </is>
      </c>
      <c r="G42" s="214" t="inlineStr">
        <is>
          <t>Search &amp; demand evidence recorded in Scoring sheet; see evidence appendix for query phrases</t>
        </is>
      </c>
      <c r="H42" s="214" t="inlineStr">
        <is>
          <t>Competitors / prices / BSR sampled via Amazon.com Oct 7 2026; see Scoring evidence column</t>
        </is>
      </c>
      <c r="I42" s="214" t="inlineStr">
        <is>
          <t>Defect gap recorded in Scoring; recurring complaints noted where reviews available</t>
        </is>
      </c>
      <c r="J42" s="214" t="inlineStr">
        <is>
          <t>Saturation % calculated from generic look-alike count /48; high saturation &gt;60% for most low-content</t>
        </is>
      </c>
      <c r="K42" s="214" t="inlineStr">
        <is>
          <t>Economics: KDP paperback royalty 6x9 120p $7.99-9.99 net ~$2.5-3.4; flagship 150-200p $12.99-19.99 net ~$4.5-5.0; eBook 70% band $2.99-12.99; TPT/CF/Payhip fees as per policy research</t>
        </is>
      </c>
      <c r="L42" s="214" t="inlineStr">
        <is>
          <t>Production &amp; channel fit: Engine fit recorded; cluster potential recorded; cross-channel recorded; see report</t>
        </is>
      </c>
      <c r="M42" s="214" t="inlineStr">
        <is>
          <t>Policy/rights: KDP low-content checkbox; repetitive content risk; AI disclosure; Egypt eligibility confirmed for KDP &amp; Google Play, Payhip/Gumroad OK, Etsy Payments not available for Egypt</t>
        </is>
      </c>
      <c r="N42" s="228" t="n">
        <v>46302</v>
      </c>
      <c r="O42" s="214" t="inlineStr">
        <is>
          <t>Preliminary: See Scoreboard tier – Tier 1/2/3 pending rubric calculation</t>
        </is>
      </c>
      <c r="P42" s="214" t="n"/>
    </row>
    <row r="43" ht="40" customHeight="1" s="198">
      <c r="A43" s="214" t="inlineStr">
        <is>
          <t>BOOK-39</t>
        </is>
      </c>
      <c r="B43" s="214" t="inlineStr">
        <is>
          <t>Creative Writing &amp; Story-Building Workbook for Teens</t>
        </is>
      </c>
      <c r="C43" s="214" t="inlineStr">
        <is>
          <t>Book candidate — workbook / activity</t>
        </is>
      </c>
      <c r="D43" s="214" t="inlineStr">
        <is>
          <t>Medium-content</t>
        </is>
      </c>
      <c r="E43" s="214" t="inlineStr">
        <is>
          <t>Amazon.com / KDP paperback; inspect digital education channels only for distinct derivatives</t>
        </is>
      </c>
      <c r="F43" s="214" t="inlineStr">
        <is>
          <t>Researched – baseline Oct 2026</t>
        </is>
      </c>
      <c r="G43" s="214" t="inlineStr">
        <is>
          <t>Search &amp; demand evidence recorded in Scoring sheet; see evidence appendix for query phrases</t>
        </is>
      </c>
      <c r="H43" s="214" t="inlineStr">
        <is>
          <t>Competitors / prices / BSR sampled via Amazon.com Oct 7 2026; see Scoring evidence column</t>
        </is>
      </c>
      <c r="I43" s="214" t="inlineStr">
        <is>
          <t>Defect gap recorded in Scoring; recurring complaints noted where reviews available</t>
        </is>
      </c>
      <c r="J43" s="214" t="inlineStr">
        <is>
          <t>Saturation % calculated from generic look-alike count /48; high saturation &gt;60% for most low-content</t>
        </is>
      </c>
      <c r="K43" s="214" t="inlineStr">
        <is>
          <t>Economics: KDP paperback royalty 6x9 120p $7.99-9.99 net ~$2.5-3.4; flagship 150-200p $12.99-19.99 net ~$4.5-5.0; eBook 70% band $2.99-12.99; TPT/CF/Payhip fees as per policy research</t>
        </is>
      </c>
      <c r="L43" s="214" t="inlineStr">
        <is>
          <t>Production &amp; channel fit: Engine fit recorded; cluster potential recorded; cross-channel recorded; see report</t>
        </is>
      </c>
      <c r="M43" s="214" t="inlineStr">
        <is>
          <t>Policy/rights: KDP low-content checkbox; repetitive content risk; AI disclosure; Egypt eligibility confirmed for KDP &amp; Google Play, Payhip/Gumroad OK, Etsy Payments not available for Egypt</t>
        </is>
      </c>
      <c r="N43" s="228" t="n">
        <v>46302</v>
      </c>
      <c r="O43" s="214" t="inlineStr">
        <is>
          <t>Preliminary: See Scoreboard tier – Tier 1/2/3 pending rubric calculation</t>
        </is>
      </c>
      <c r="P43" s="214" t="n"/>
    </row>
    <row r="44" ht="40" customHeight="1" s="198">
      <c r="A44" s="214" t="inlineStr">
        <is>
          <t>BOOK-40</t>
        </is>
      </c>
      <c r="B44" s="214" t="inlineStr">
        <is>
          <t>Homeschool Science Observation Workbook</t>
        </is>
      </c>
      <c r="C44" s="214" t="inlineStr">
        <is>
          <t>Book candidate — workbook / activity</t>
        </is>
      </c>
      <c r="D44" s="214" t="inlineStr">
        <is>
          <t>Medium-content</t>
        </is>
      </c>
      <c r="E44" s="214" t="inlineStr">
        <is>
          <t>Amazon.com / KDP paperback; inspect digital education channels only for distinct derivatives</t>
        </is>
      </c>
      <c r="F44" s="214" t="inlineStr">
        <is>
          <t>Researched – baseline Oct 2026</t>
        </is>
      </c>
      <c r="G44" s="214" t="inlineStr">
        <is>
          <t>Search &amp; demand evidence recorded in Scoring sheet; see evidence appendix for query phrases</t>
        </is>
      </c>
      <c r="H44" s="214" t="inlineStr">
        <is>
          <t>Competitors / prices / BSR sampled via Amazon.com Oct 7 2026; see Scoring evidence column</t>
        </is>
      </c>
      <c r="I44" s="214" t="inlineStr">
        <is>
          <t>Defect gap recorded in Scoring; recurring complaints noted where reviews available</t>
        </is>
      </c>
      <c r="J44" s="214" t="inlineStr">
        <is>
          <t>Saturation % calculated from generic look-alike count /48; high saturation &gt;60% for most low-content</t>
        </is>
      </c>
      <c r="K44" s="214" t="inlineStr">
        <is>
          <t>Economics: KDP paperback royalty 6x9 120p $7.99-9.99 net ~$2.5-3.4; flagship 150-200p $12.99-19.99 net ~$4.5-5.0; eBook 70% band $2.99-12.99; TPT/CF/Payhip fees as per policy research</t>
        </is>
      </c>
      <c r="L44" s="214" t="inlineStr">
        <is>
          <t>Production &amp; channel fit: Engine fit recorded; cluster potential recorded; cross-channel recorded; see report</t>
        </is>
      </c>
      <c r="M44" s="214" t="inlineStr">
        <is>
          <t>Policy/rights: KDP low-content checkbox; repetitive content risk; AI disclosure; Egypt eligibility confirmed for KDP &amp; Google Play, Payhip/Gumroad OK, Etsy Payments not available for Egypt</t>
        </is>
      </c>
      <c r="N44" s="228" t="n">
        <v>46302</v>
      </c>
      <c r="O44" s="214" t="inlineStr">
        <is>
          <t>Preliminary: See Scoreboard tier – Tier 1/2/3 pending rubric calculation</t>
        </is>
      </c>
      <c r="P44" s="214" t="n"/>
    </row>
    <row r="45" ht="40" customHeight="1" s="198">
      <c r="A45" s="214" t="inlineStr">
        <is>
          <t>BOOK-41</t>
        </is>
      </c>
      <c r="B45" s="214" t="inlineStr">
        <is>
          <t>Beginner Woodworking Skills &amp; Project Planning Workbook</t>
        </is>
      </c>
      <c r="C45" s="214" t="inlineStr">
        <is>
          <t>Book candidate — workbook / activity</t>
        </is>
      </c>
      <c r="D45" s="214" t="inlineStr">
        <is>
          <t>Medium-content</t>
        </is>
      </c>
      <c r="E45" s="214" t="inlineStr">
        <is>
          <t>Amazon.com / KDP paperback; inspect digital education channels only for distinct derivatives</t>
        </is>
      </c>
      <c r="F45" s="214" t="inlineStr">
        <is>
          <t>Researched – baseline Oct 2026</t>
        </is>
      </c>
      <c r="G45" s="214" t="inlineStr">
        <is>
          <t>Search &amp; demand evidence recorded in Scoring sheet; see evidence appendix for query phrases</t>
        </is>
      </c>
      <c r="H45" s="214" t="inlineStr">
        <is>
          <t>Competitors / prices / BSR sampled via Amazon.com Oct 7 2026; see Scoring evidence column</t>
        </is>
      </c>
      <c r="I45" s="214" t="inlineStr">
        <is>
          <t>Defect gap recorded in Scoring; recurring complaints noted where reviews available</t>
        </is>
      </c>
      <c r="J45" s="214" t="inlineStr">
        <is>
          <t>Saturation % calculated from generic look-alike count /48; high saturation &gt;60% for most low-content</t>
        </is>
      </c>
      <c r="K45" s="214" t="inlineStr">
        <is>
          <t>Economics: KDP paperback royalty 6x9 120p $7.99-9.99 net ~$2.5-3.4; flagship 150-200p $12.99-19.99 net ~$4.5-5.0; eBook 70% band $2.99-12.99; TPT/CF/Payhip fees as per policy research</t>
        </is>
      </c>
      <c r="L45" s="214" t="inlineStr">
        <is>
          <t>Production &amp; channel fit: Engine fit recorded; cluster potential recorded; cross-channel recorded; see report</t>
        </is>
      </c>
      <c r="M45" s="214" t="inlineStr">
        <is>
          <t>Policy/rights: KDP low-content checkbox; repetitive content risk; AI disclosure; Egypt eligibility confirmed for KDP &amp; Google Play, Payhip/Gumroad OK, Etsy Payments not available for Egypt</t>
        </is>
      </c>
      <c r="N45" s="228" t="n">
        <v>46302</v>
      </c>
      <c r="O45" s="214" t="inlineStr">
        <is>
          <t>Preliminary: See Scoreboard tier – Tier 1/2/3 pending rubric calculation</t>
        </is>
      </c>
      <c r="P45" s="214" t="n"/>
    </row>
    <row r="46" ht="40" customHeight="1" s="198">
      <c r="A46" s="214" t="inlineStr">
        <is>
          <t>BOOK-42</t>
        </is>
      </c>
      <c r="B46" s="214" t="inlineStr">
        <is>
          <t>Beginner Home Cooking Skills &amp; Recipe Experiment Workbook</t>
        </is>
      </c>
      <c r="C46" s="214" t="inlineStr">
        <is>
          <t>Book candidate — workbook / activity</t>
        </is>
      </c>
      <c r="D46" s="214" t="inlineStr">
        <is>
          <t>Medium-content</t>
        </is>
      </c>
      <c r="E46" s="214" t="inlineStr">
        <is>
          <t>Amazon.com / KDP paperback; inspect digital education channels only for distinct derivatives</t>
        </is>
      </c>
      <c r="F46" s="214" t="inlineStr">
        <is>
          <t>Researched – baseline Oct 2026</t>
        </is>
      </c>
      <c r="G46" s="214" t="inlineStr">
        <is>
          <t>Search &amp; demand evidence recorded in Scoring sheet; see evidence appendix for query phrases</t>
        </is>
      </c>
      <c r="H46" s="214" t="inlineStr">
        <is>
          <t>Competitors / prices / BSR sampled via Amazon.com Oct 7 2026; see Scoring evidence column</t>
        </is>
      </c>
      <c r="I46" s="214" t="inlineStr">
        <is>
          <t>Defect gap recorded in Scoring; recurring complaints noted where reviews available</t>
        </is>
      </c>
      <c r="J46" s="214" t="inlineStr">
        <is>
          <t>Saturation % calculated from generic look-alike count /48; high saturation &gt;60% for most low-content</t>
        </is>
      </c>
      <c r="K46" s="214" t="inlineStr">
        <is>
          <t>Economics: KDP paperback royalty 6x9 120p $7.99-9.99 net ~$2.5-3.4; flagship 150-200p $12.99-19.99 net ~$4.5-5.0; eBook 70% band $2.99-12.99; TPT/CF/Payhip fees as per policy research</t>
        </is>
      </c>
      <c r="L46" s="214" t="inlineStr">
        <is>
          <t>Production &amp; channel fit: Engine fit recorded; cluster potential recorded; cross-channel recorded; see report</t>
        </is>
      </c>
      <c r="M46" s="214" t="inlineStr">
        <is>
          <t>Policy/rights: KDP low-content checkbox; repetitive content risk; AI disclosure; Egypt eligibility confirmed for KDP &amp; Google Play, Payhip/Gumroad OK, Etsy Payments not available for Egypt</t>
        </is>
      </c>
      <c r="N46" s="228" t="n">
        <v>46302</v>
      </c>
      <c r="O46" s="214" t="inlineStr">
        <is>
          <t>Preliminary: See Scoreboard tier – Tier 1/2/3 pending rubric calculation</t>
        </is>
      </c>
      <c r="P46" s="214" t="n"/>
    </row>
    <row r="47" ht="40" customHeight="1" s="198">
      <c r="A47" s="214" t="inlineStr">
        <is>
          <t>BOOK-43</t>
        </is>
      </c>
      <c r="B47" s="214" t="inlineStr">
        <is>
          <t>Small Boat Ownership &amp; Preventive Maintenance for Beginners</t>
        </is>
      </c>
      <c r="C47" s="214" t="inlineStr">
        <is>
          <t>Book candidate — high-content / flagship</t>
        </is>
      </c>
      <c r="D47" s="214" t="inlineStr">
        <is>
          <t>Flagship</t>
        </is>
      </c>
      <c r="E47" s="214" t="inlineStr">
        <is>
          <t>KDP paperback + Kindle eBook; consider Google Play, Apple Books, Kobo after eligibility and format checks</t>
        </is>
      </c>
      <c r="F47" s="214" t="inlineStr">
        <is>
          <t>Researched – baseline Oct 2026</t>
        </is>
      </c>
      <c r="G47" s="214" t="inlineStr">
        <is>
          <t>Search &amp; demand evidence recorded in Scoring sheet; see evidence appendix for query phrases</t>
        </is>
      </c>
      <c r="H47" s="214" t="inlineStr">
        <is>
          <t>Competitors / prices / BSR sampled via Amazon.com Oct 7 2026; see Scoring evidence column</t>
        </is>
      </c>
      <c r="I47" s="214" t="inlineStr">
        <is>
          <t>Defect gap recorded in Scoring; recurring complaints noted where reviews available</t>
        </is>
      </c>
      <c r="J47" s="214" t="inlineStr">
        <is>
          <t>Saturation % calculated from generic look-alike count /48; high saturation &gt;60% for most low-content</t>
        </is>
      </c>
      <c r="K47" s="214" t="inlineStr">
        <is>
          <t>Economics: KDP paperback royalty 6x9 120p $7.99-9.99 net ~$2.5-3.4; flagship 150-200p $12.99-19.99 net ~$4.5-5.0; eBook 70% band $2.99-12.99; TPT/CF/Payhip fees as per policy research</t>
        </is>
      </c>
      <c r="L47" s="214" t="inlineStr">
        <is>
          <t>Production &amp; channel fit: Engine fit recorded; cluster potential recorded; cross-channel recorded; see report</t>
        </is>
      </c>
      <c r="M47" s="214" t="inlineStr">
        <is>
          <t>Policy/rights: KDP low-content checkbox; repetitive content risk; AI disclosure; Egypt eligibility confirmed for KDP &amp; Google Play, Payhip/Gumroad OK, Etsy Payments not available for Egypt</t>
        </is>
      </c>
      <c r="N47" s="228" t="n">
        <v>46302</v>
      </c>
      <c r="O47" s="214" t="inlineStr">
        <is>
          <t>Preliminary: See Scoreboard tier – Tier 1/2/3 pending rubric calculation</t>
        </is>
      </c>
      <c r="P47" s="214" t="n"/>
    </row>
    <row r="48" ht="40" customHeight="1" s="198">
      <c r="A48" s="214" t="inlineStr">
        <is>
          <t>BOOK-44</t>
        </is>
      </c>
      <c r="B48" s="214" t="inlineStr">
        <is>
          <t>Practical Beekeeping: First-Year Hive Management Guide</t>
        </is>
      </c>
      <c r="C48" s="214" t="inlineStr">
        <is>
          <t>Book candidate — high-content / flagship</t>
        </is>
      </c>
      <c r="D48" s="214" t="inlineStr">
        <is>
          <t>Flagship</t>
        </is>
      </c>
      <c r="E48" s="214" t="inlineStr">
        <is>
          <t>KDP paperback + Kindle eBook; consider Google Play, Apple Books, Kobo after eligibility and format checks</t>
        </is>
      </c>
      <c r="F48" s="214" t="inlineStr">
        <is>
          <t>Researched – baseline Oct 2026</t>
        </is>
      </c>
      <c r="G48" s="214" t="inlineStr">
        <is>
          <t>Search &amp; demand evidence recorded in Scoring sheet; see evidence appendix for query phrases</t>
        </is>
      </c>
      <c r="H48" s="214" t="inlineStr">
        <is>
          <t>Competitors / prices / BSR sampled via Amazon.com Oct 7 2026; see Scoring evidence column</t>
        </is>
      </c>
      <c r="I48" s="214" t="inlineStr">
        <is>
          <t>Defect gap recorded in Scoring; recurring complaints noted where reviews available</t>
        </is>
      </c>
      <c r="J48" s="214" t="inlineStr">
        <is>
          <t>Saturation % calculated from generic look-alike count /48; high saturation &gt;60% for most low-content</t>
        </is>
      </c>
      <c r="K48" s="214" t="inlineStr">
        <is>
          <t>Economics: KDP paperback royalty 6x9 120p $7.99-9.99 net ~$2.5-3.4; flagship 150-200p $12.99-19.99 net ~$4.5-5.0; eBook 70% band $2.99-12.99; TPT/CF/Payhip fees as per policy research</t>
        </is>
      </c>
      <c r="L48" s="214" t="inlineStr">
        <is>
          <t>Production &amp; channel fit: Engine fit recorded; cluster potential recorded; cross-channel recorded; see report</t>
        </is>
      </c>
      <c r="M48" s="214" t="inlineStr">
        <is>
          <t>Policy/rights: KDP low-content checkbox; repetitive content risk; AI disclosure; Egypt eligibility confirmed for KDP &amp; Google Play, Payhip/Gumroad OK, Etsy Payments not available for Egypt</t>
        </is>
      </c>
      <c r="N48" s="228" t="n">
        <v>46302</v>
      </c>
      <c r="O48" s="214" t="inlineStr">
        <is>
          <t>Preliminary: See Scoreboard tier – Tier 1/2/3 pending rubric calculation</t>
        </is>
      </c>
      <c r="P48" s="214" t="n"/>
    </row>
    <row r="49" ht="40" customHeight="1" s="198">
      <c r="A49" s="214" t="inlineStr">
        <is>
          <t>BOOK-45</t>
        </is>
      </c>
      <c r="B49" s="214" t="inlineStr">
        <is>
          <t>Sourdough Troubleshooting: Starter, Fermentation &amp; Bake Results</t>
        </is>
      </c>
      <c r="C49" s="214" t="inlineStr">
        <is>
          <t>Book candidate — digital-first eBook</t>
        </is>
      </c>
      <c r="D49" s="214" t="inlineStr">
        <is>
          <t>Digital-first eBook</t>
        </is>
      </c>
      <c r="E49" s="214" t="inlineStr">
        <is>
          <t>Kindle eBook + Google Play Books / Apple Books / Kobo; D2D only if its content policy permits</t>
        </is>
      </c>
      <c r="F49" s="214" t="inlineStr">
        <is>
          <t>Researched – baseline Oct 2026</t>
        </is>
      </c>
      <c r="G49" s="214" t="inlineStr">
        <is>
          <t>Search &amp; demand evidence recorded in Scoring sheet; see evidence appendix for query phrases</t>
        </is>
      </c>
      <c r="H49" s="214" t="inlineStr">
        <is>
          <t>Competitors / prices / BSR sampled via Amazon.com Oct 7 2026; see Scoring evidence column</t>
        </is>
      </c>
      <c r="I49" s="214" t="inlineStr">
        <is>
          <t>Defect gap recorded in Scoring; recurring complaints noted where reviews available</t>
        </is>
      </c>
      <c r="J49" s="214" t="inlineStr">
        <is>
          <t>Saturation % calculated from generic look-alike count /48; high saturation &gt;60% for most low-content</t>
        </is>
      </c>
      <c r="K49" s="214" t="inlineStr">
        <is>
          <t>Economics: KDP paperback royalty 6x9 120p $7.99-9.99 net ~$2.5-3.4; flagship 150-200p $12.99-19.99 net ~$4.5-5.0; eBook 70% band $2.99-12.99; TPT/CF/Payhip fees as per policy research</t>
        </is>
      </c>
      <c r="L49" s="214" t="inlineStr">
        <is>
          <t>Production &amp; channel fit: Engine fit recorded; cluster potential recorded; cross-channel recorded; see report</t>
        </is>
      </c>
      <c r="M49" s="214" t="inlineStr">
        <is>
          <t>Policy/rights: KDP low-content checkbox; repetitive content risk; AI disclosure; Egypt eligibility confirmed for KDP &amp; Google Play, Payhip/Gumroad OK, Etsy Payments not available for Egypt</t>
        </is>
      </c>
      <c r="N49" s="228" t="n">
        <v>46302</v>
      </c>
      <c r="O49" s="214" t="inlineStr">
        <is>
          <t>Preliminary: See Scoreboard tier – Tier 1/2/3 pending rubric calculation</t>
        </is>
      </c>
      <c r="P49" s="214" t="n"/>
    </row>
    <row r="50" ht="40" customHeight="1" s="198">
      <c r="A50" s="214" t="inlineStr">
        <is>
          <t>BOOK-46</t>
        </is>
      </c>
      <c r="B50" s="214" t="inlineStr">
        <is>
          <t>RV Ownership: First-Year Setup, Safety Checks &amp; Maintenance Guide</t>
        </is>
      </c>
      <c r="C50" s="214" t="inlineStr">
        <is>
          <t>Book candidate — high-content / flagship</t>
        </is>
      </c>
      <c r="D50" s="214" t="inlineStr">
        <is>
          <t>Flagship</t>
        </is>
      </c>
      <c r="E50" s="214" t="inlineStr">
        <is>
          <t>KDP paperback + Kindle eBook; consider Google Play, Apple Books, Kobo after eligibility and format checks</t>
        </is>
      </c>
      <c r="F50" s="214" t="inlineStr">
        <is>
          <t>Researched – baseline Oct 2026</t>
        </is>
      </c>
      <c r="G50" s="214" t="inlineStr">
        <is>
          <t>Search &amp; demand evidence recorded in Scoring sheet; see evidence appendix for query phrases</t>
        </is>
      </c>
      <c r="H50" s="214" t="inlineStr">
        <is>
          <t>Competitors / prices / BSR sampled via Amazon.com Oct 7 2026; see Scoring evidence column</t>
        </is>
      </c>
      <c r="I50" s="214" t="inlineStr">
        <is>
          <t>Defect gap recorded in Scoring; recurring complaints noted where reviews available</t>
        </is>
      </c>
      <c r="J50" s="214" t="inlineStr">
        <is>
          <t>Saturation % calculated from generic look-alike count /48; high saturation &gt;60% for most low-content</t>
        </is>
      </c>
      <c r="K50" s="214" t="inlineStr">
        <is>
          <t>Economics: KDP paperback royalty 6x9 120p $7.99-9.99 net ~$2.5-3.4; flagship 150-200p $12.99-19.99 net ~$4.5-5.0; eBook 70% band $2.99-12.99; TPT/CF/Payhip fees as per policy research</t>
        </is>
      </c>
      <c r="L50" s="214" t="inlineStr">
        <is>
          <t>Production &amp; channel fit: Engine fit recorded; cluster potential recorded; cross-channel recorded; see report</t>
        </is>
      </c>
      <c r="M50" s="214" t="inlineStr">
        <is>
          <t>Policy/rights: KDP low-content checkbox; repetitive content risk; AI disclosure; Egypt eligibility confirmed for KDP &amp; Google Play, Payhip/Gumroad OK, Etsy Payments not available for Egypt</t>
        </is>
      </c>
      <c r="N50" s="228" t="n">
        <v>46302</v>
      </c>
      <c r="O50" s="214" t="inlineStr">
        <is>
          <t>Preliminary: See Scoreboard tier – Tier 1/2/3 pending rubric calculation</t>
        </is>
      </c>
      <c r="P50" s="214" t="n"/>
    </row>
    <row r="51" ht="40" customHeight="1" s="198">
      <c r="A51" s="214" t="inlineStr">
        <is>
          <t>BOOK-47</t>
        </is>
      </c>
      <c r="B51" s="214" t="inlineStr">
        <is>
          <t>Freelance Graphic Designer's Client Workflow Playbook</t>
        </is>
      </c>
      <c r="C51" s="214" t="inlineStr">
        <is>
          <t>Book candidate — digital-first eBook</t>
        </is>
      </c>
      <c r="D51" s="214" t="inlineStr">
        <is>
          <t>Digital-first eBook</t>
        </is>
      </c>
      <c r="E51" s="214" t="inlineStr">
        <is>
          <t>Kindle eBook + Google Play Books / Apple Books / Kobo; D2D only if its content policy permits</t>
        </is>
      </c>
      <c r="F51" s="214" t="inlineStr">
        <is>
          <t>Researched – baseline Oct 2026</t>
        </is>
      </c>
      <c r="G51" s="214" t="inlineStr">
        <is>
          <t>Search &amp; demand evidence recorded in Scoring sheet; see evidence appendix for query phrases</t>
        </is>
      </c>
      <c r="H51" s="214" t="inlineStr">
        <is>
          <t>Competitors / prices / BSR sampled via Amazon.com Oct 7 2026; see Scoring evidence column</t>
        </is>
      </c>
      <c r="I51" s="214" t="inlineStr">
        <is>
          <t>Defect gap recorded in Scoring; recurring complaints noted where reviews available</t>
        </is>
      </c>
      <c r="J51" s="214" t="inlineStr">
        <is>
          <t>Saturation % calculated from generic look-alike count /48; high saturation &gt;60% for most low-content</t>
        </is>
      </c>
      <c r="K51" s="214" t="inlineStr">
        <is>
          <t>Economics: KDP paperback royalty 6x9 120p $7.99-9.99 net ~$2.5-3.4; flagship 150-200p $12.99-19.99 net ~$4.5-5.0; eBook 70% band $2.99-12.99; TPT/CF/Payhip fees as per policy research</t>
        </is>
      </c>
      <c r="L51" s="214" t="inlineStr">
        <is>
          <t>Production &amp; channel fit: Engine fit recorded; cluster potential recorded; cross-channel recorded; see report</t>
        </is>
      </c>
      <c r="M51" s="214" t="inlineStr">
        <is>
          <t>Policy/rights: KDP low-content checkbox; repetitive content risk; AI disclosure; Egypt eligibility confirmed for KDP &amp; Google Play, Payhip/Gumroad OK, Etsy Payments not available for Egypt</t>
        </is>
      </c>
      <c r="N51" s="228" t="n">
        <v>46302</v>
      </c>
      <c r="O51" s="214" t="inlineStr">
        <is>
          <t>Preliminary: See Scoreboard tier – Tier 1/2/3 pending rubric calculation</t>
        </is>
      </c>
      <c r="P51" s="214" t="n"/>
    </row>
    <row r="52" ht="40" customHeight="1" s="198">
      <c r="A52" s="214" t="inlineStr">
        <is>
          <t>BOOK-48</t>
        </is>
      </c>
      <c r="B52" s="214" t="inlineStr">
        <is>
          <t>AI-Assisted Workflow Guide for Freelance Graphic Designers</t>
        </is>
      </c>
      <c r="C52" s="214" t="inlineStr">
        <is>
          <t>Book candidate — digital-first eBook</t>
        </is>
      </c>
      <c r="D52" s="214" t="inlineStr">
        <is>
          <t>Digital-first eBook</t>
        </is>
      </c>
      <c r="E52" s="214" t="inlineStr">
        <is>
          <t>Kindle eBook + Google Play Books / Apple Books / Kobo; D2D only if its content policy permits</t>
        </is>
      </c>
      <c r="F52" s="214" t="inlineStr">
        <is>
          <t>Researched – baseline Oct 2026</t>
        </is>
      </c>
      <c r="G52" s="214" t="inlineStr">
        <is>
          <t>Search &amp; demand evidence recorded in Scoring sheet; see evidence appendix for query phrases</t>
        </is>
      </c>
      <c r="H52" s="214" t="inlineStr">
        <is>
          <t>Competitors / prices / BSR sampled via Amazon.com Oct 7 2026; see Scoring evidence column</t>
        </is>
      </c>
      <c r="I52" s="214" t="inlineStr">
        <is>
          <t>Defect gap recorded in Scoring; recurring complaints noted where reviews available</t>
        </is>
      </c>
      <c r="J52" s="214" t="inlineStr">
        <is>
          <t>Saturation % calculated from generic look-alike count /48; high saturation &gt;60% for most low-content</t>
        </is>
      </c>
      <c r="K52" s="214" t="inlineStr">
        <is>
          <t>Economics: KDP paperback royalty 6x9 120p $7.99-9.99 net ~$2.5-3.4; flagship 150-200p $12.99-19.99 net ~$4.5-5.0; eBook 70% band $2.99-12.99; TPT/CF/Payhip fees as per policy research</t>
        </is>
      </c>
      <c r="L52" s="214" t="inlineStr">
        <is>
          <t>Production &amp; channel fit: Engine fit recorded; cluster potential recorded; cross-channel recorded; see report</t>
        </is>
      </c>
      <c r="M52" s="214" t="inlineStr">
        <is>
          <t>Policy/rights: KDP low-content checkbox; repetitive content risk; AI disclosure; Egypt eligibility confirmed for KDP &amp; Google Play, Payhip/Gumroad OK, Etsy Payments not available for Egypt</t>
        </is>
      </c>
      <c r="N52" s="228" t="n">
        <v>46302</v>
      </c>
      <c r="O52" s="214" t="inlineStr">
        <is>
          <t>Preliminary: See Scoreboard tier – Tier 1/2/3 pending rubric calculation</t>
        </is>
      </c>
      <c r="P52" s="214" t="n"/>
    </row>
    <row r="53" ht="40" customHeight="1" s="198">
      <c r="A53" s="214" t="inlineStr">
        <is>
          <t>BOOK-49</t>
        </is>
      </c>
      <c r="B53" s="214" t="inlineStr">
        <is>
          <t>Digital Asset Organization for Independent Designers</t>
        </is>
      </c>
      <c r="C53" s="214" t="inlineStr">
        <is>
          <t>Book candidate — digital-first eBook</t>
        </is>
      </c>
      <c r="D53" s="214" t="inlineStr">
        <is>
          <t>Digital-first eBook</t>
        </is>
      </c>
      <c r="E53" s="214" t="inlineStr">
        <is>
          <t>Kindle eBook + Google Play Books / Apple Books / Kobo; D2D only if its content policy permits</t>
        </is>
      </c>
      <c r="F53" s="214" t="inlineStr">
        <is>
          <t>Researched – baseline Oct 2026</t>
        </is>
      </c>
      <c r="G53" s="214" t="inlineStr">
        <is>
          <t>Search &amp; demand evidence recorded in Scoring sheet; see evidence appendix for query phrases</t>
        </is>
      </c>
      <c r="H53" s="214" t="inlineStr">
        <is>
          <t>Competitors / prices / BSR sampled via Amazon.com Oct 7 2026; see Scoring evidence column</t>
        </is>
      </c>
      <c r="I53" s="214" t="inlineStr">
        <is>
          <t>Defect gap recorded in Scoring; recurring complaints noted where reviews available</t>
        </is>
      </c>
      <c r="J53" s="214" t="inlineStr">
        <is>
          <t>Saturation % calculated from generic look-alike count /48; high saturation &gt;60% for most low-content</t>
        </is>
      </c>
      <c r="K53" s="214" t="inlineStr">
        <is>
          <t>Economics: KDP paperback royalty 6x9 120p $7.99-9.99 net ~$2.5-3.4; flagship 150-200p $12.99-19.99 net ~$4.5-5.0; eBook 70% band $2.99-12.99; TPT/CF/Payhip fees as per policy research</t>
        </is>
      </c>
      <c r="L53" s="214" t="inlineStr">
        <is>
          <t>Production &amp; channel fit: Engine fit recorded; cluster potential recorded; cross-channel recorded; see report</t>
        </is>
      </c>
      <c r="M53" s="214" t="inlineStr">
        <is>
          <t>Policy/rights: KDP low-content checkbox; repetitive content risk; AI disclosure; Egypt eligibility confirmed for KDP &amp; Google Play, Payhip/Gumroad OK, Etsy Payments not available for Egypt</t>
        </is>
      </c>
      <c r="N53" s="228" t="n">
        <v>46302</v>
      </c>
      <c r="O53" s="214" t="inlineStr">
        <is>
          <t>Preliminary: See Scoreboard tier – Tier 1/2/3 pending rubric calculation</t>
        </is>
      </c>
      <c r="P53" s="214" t="n"/>
    </row>
    <row r="54" ht="40" customHeight="1" s="198">
      <c r="A54" s="214" t="inlineStr">
        <is>
          <t>BOOK-50</t>
        </is>
      </c>
      <c r="B54" s="214" t="inlineStr">
        <is>
          <t>Practical AI Workflow Guide for Independent Self-Publishers</t>
        </is>
      </c>
      <c r="C54" s="214" t="inlineStr">
        <is>
          <t>Book candidate — digital-first eBook</t>
        </is>
      </c>
      <c r="D54" s="214" t="inlineStr">
        <is>
          <t>Digital-first eBook</t>
        </is>
      </c>
      <c r="E54" s="214" t="inlineStr">
        <is>
          <t>Kindle eBook + Google Play Books / Apple Books / Kobo; D2D only if its content policy permits</t>
        </is>
      </c>
      <c r="F54" s="214" t="inlineStr">
        <is>
          <t>Researched – baseline Oct 2026</t>
        </is>
      </c>
      <c r="G54" s="214" t="inlineStr">
        <is>
          <t>Search &amp; demand evidence recorded in Scoring sheet; see evidence appendix for query phrases</t>
        </is>
      </c>
      <c r="H54" s="214" t="inlineStr">
        <is>
          <t>Competitors / prices / BSR sampled via Amazon.com Oct 7 2026; see Scoring evidence column</t>
        </is>
      </c>
      <c r="I54" s="214" t="inlineStr">
        <is>
          <t>Defect gap recorded in Scoring; recurring complaints noted where reviews available</t>
        </is>
      </c>
      <c r="J54" s="214" t="inlineStr">
        <is>
          <t>Saturation % calculated from generic look-alike count /48; high saturation &gt;60% for most low-content</t>
        </is>
      </c>
      <c r="K54" s="214" t="inlineStr">
        <is>
          <t>Economics: KDP paperback royalty 6x9 120p $7.99-9.99 net ~$2.5-3.4; flagship 150-200p $12.99-19.99 net ~$4.5-5.0; eBook 70% band $2.99-12.99; TPT/CF/Payhip fees as per policy research</t>
        </is>
      </c>
      <c r="L54" s="214" t="inlineStr">
        <is>
          <t>Production &amp; channel fit: Engine fit recorded; cluster potential recorded; cross-channel recorded; see report</t>
        </is>
      </c>
      <c r="M54" s="214" t="inlineStr">
        <is>
          <t>Policy/rights: KDP low-content checkbox; repetitive content risk; AI disclosure; Egypt eligibility confirmed for KDP &amp; Google Play, Payhip/Gumroad OK, Etsy Payments not available for Egypt</t>
        </is>
      </c>
      <c r="N54" s="228" t="n">
        <v>46302</v>
      </c>
      <c r="O54" s="214" t="inlineStr">
        <is>
          <t>Preliminary: See Scoreboard tier – Tier 1/2/3 pending rubric calculation</t>
        </is>
      </c>
      <c r="P54" s="214" t="n"/>
    </row>
    <row r="55" ht="40" customHeight="1" s="198">
      <c r="A55" s="214" t="inlineStr">
        <is>
          <t>BOOK-51</t>
        </is>
      </c>
      <c r="B55" s="214" t="inlineStr">
        <is>
          <t>First-Time Landlord: Property Maintenance &amp; Turnover Playbook</t>
        </is>
      </c>
      <c r="C55" s="214" t="inlineStr">
        <is>
          <t>Book candidate — high-content / flagship</t>
        </is>
      </c>
      <c r="D55" s="214" t="inlineStr">
        <is>
          <t>Flagship</t>
        </is>
      </c>
      <c r="E55" s="214" t="inlineStr">
        <is>
          <t>KDP paperback + Kindle eBook; consider Google Play, Apple Books, Kobo after eligibility and format checks</t>
        </is>
      </c>
      <c r="F55" s="214" t="inlineStr">
        <is>
          <t>Researched – baseline Oct 2026</t>
        </is>
      </c>
      <c r="G55" s="214" t="inlineStr">
        <is>
          <t>Search &amp; demand evidence recorded in Scoring sheet; see evidence appendix for query phrases</t>
        </is>
      </c>
      <c r="H55" s="214" t="inlineStr">
        <is>
          <t>Competitors / prices / BSR sampled via Amazon.com Oct 7 2026; see Scoring evidence column</t>
        </is>
      </c>
      <c r="I55" s="214" t="inlineStr">
        <is>
          <t>Defect gap recorded in Scoring; recurring complaints noted where reviews available</t>
        </is>
      </c>
      <c r="J55" s="214" t="inlineStr">
        <is>
          <t>Saturation % calculated from generic look-alike count /48; high saturation &gt;60% for most low-content</t>
        </is>
      </c>
      <c r="K55" s="214" t="inlineStr">
        <is>
          <t>Economics: KDP paperback royalty 6x9 120p $7.99-9.99 net ~$2.5-3.4; flagship 150-200p $12.99-19.99 net ~$4.5-5.0; eBook 70% band $2.99-12.99; TPT/CF/Payhip fees as per policy research</t>
        </is>
      </c>
      <c r="L55" s="214" t="inlineStr">
        <is>
          <t>Production &amp; channel fit: Engine fit recorded; cluster potential recorded; cross-channel recorded; see report</t>
        </is>
      </c>
      <c r="M55" s="214" t="inlineStr">
        <is>
          <t>Policy/rights: KDP low-content checkbox; repetitive content risk; AI disclosure; Egypt eligibility confirmed for KDP &amp; Google Play, Payhip/Gumroad OK, Etsy Payments not available for Egypt</t>
        </is>
      </c>
      <c r="N55" s="228" t="n">
        <v>46302</v>
      </c>
      <c r="O55" s="214" t="inlineStr">
        <is>
          <t>Preliminary: See Scoreboard tier – Tier 1/2/3 pending rubric calculation</t>
        </is>
      </c>
      <c r="P55" s="214" t="n"/>
    </row>
    <row r="56" ht="40" customHeight="1" s="198">
      <c r="A56" s="214" t="inlineStr">
        <is>
          <t>BOOK-52</t>
        </is>
      </c>
      <c r="B56" s="214" t="inlineStr">
        <is>
          <t>Home Inventory &amp; Household Document Organization System</t>
        </is>
      </c>
      <c r="C56" s="214" t="inlineStr">
        <is>
          <t>Book candidate — digital-first eBook</t>
        </is>
      </c>
      <c r="D56" s="214" t="inlineStr">
        <is>
          <t>Digital-first eBook</t>
        </is>
      </c>
      <c r="E56" s="214" t="inlineStr">
        <is>
          <t>Kindle eBook + Google Play Books / Apple Books / Kobo; D2D only if its content policy permits</t>
        </is>
      </c>
      <c r="F56" s="214" t="inlineStr">
        <is>
          <t>Researched – baseline Oct 2026</t>
        </is>
      </c>
      <c r="G56" s="214" t="inlineStr">
        <is>
          <t>Search &amp; demand evidence recorded in Scoring sheet; see evidence appendix for query phrases</t>
        </is>
      </c>
      <c r="H56" s="214" t="inlineStr">
        <is>
          <t>Competitors / prices / BSR sampled via Amazon.com Oct 7 2026; see Scoring evidence column</t>
        </is>
      </c>
      <c r="I56" s="214" t="inlineStr">
        <is>
          <t>Defect gap recorded in Scoring; recurring complaints noted where reviews available</t>
        </is>
      </c>
      <c r="J56" s="214" t="inlineStr">
        <is>
          <t>Saturation % calculated from generic look-alike count /48; high saturation &gt;60% for most low-content</t>
        </is>
      </c>
      <c r="K56" s="214" t="inlineStr">
        <is>
          <t>Economics: KDP paperback royalty 6x9 120p $7.99-9.99 net ~$2.5-3.4; flagship 150-200p $12.99-19.99 net ~$4.5-5.0; eBook 70% band $2.99-12.99; TPT/CF/Payhip fees as per policy research</t>
        </is>
      </c>
      <c r="L56" s="214" t="inlineStr">
        <is>
          <t>Production &amp; channel fit: Engine fit recorded; cluster potential recorded; cross-channel recorded; see report</t>
        </is>
      </c>
      <c r="M56" s="214" t="inlineStr">
        <is>
          <t>Policy/rights: KDP low-content checkbox; repetitive content risk; AI disclosure; Egypt eligibility confirmed for KDP &amp; Google Play, Payhip/Gumroad OK, Etsy Payments not available for Egypt</t>
        </is>
      </c>
      <c r="N56" s="228" t="n">
        <v>46302</v>
      </c>
      <c r="O56" s="214" t="inlineStr">
        <is>
          <t>Preliminary: See Scoreboard tier – Tier 1/2/3 pending rubric calculation</t>
        </is>
      </c>
      <c r="P56" s="214" t="n"/>
    </row>
    <row r="57" ht="40" customHeight="1" s="198">
      <c r="A57" s="214" t="inlineStr">
        <is>
          <t>BOOK-53</t>
        </is>
      </c>
      <c r="B57" s="214" t="inlineStr">
        <is>
          <t>Amateur Astronomy Observation Guide for Beginners</t>
        </is>
      </c>
      <c r="C57" s="214" t="inlineStr">
        <is>
          <t>Book candidate — digital-first eBook</t>
        </is>
      </c>
      <c r="D57" s="214" t="inlineStr">
        <is>
          <t>Digital-first eBook</t>
        </is>
      </c>
      <c r="E57" s="214" t="inlineStr">
        <is>
          <t>Kindle eBook + Google Play Books / Apple Books / Kobo; D2D only if its content policy permits</t>
        </is>
      </c>
      <c r="F57" s="214" t="inlineStr">
        <is>
          <t>Researched – baseline Oct 2026</t>
        </is>
      </c>
      <c r="G57" s="214" t="inlineStr">
        <is>
          <t>Search &amp; demand evidence recorded in Scoring sheet; see evidence appendix for query phrases</t>
        </is>
      </c>
      <c r="H57" s="214" t="inlineStr">
        <is>
          <t>Competitors / prices / BSR sampled via Amazon.com Oct 7 2026; see Scoring evidence column</t>
        </is>
      </c>
      <c r="I57" s="214" t="inlineStr">
        <is>
          <t>Defect gap recorded in Scoring; recurring complaints noted where reviews available</t>
        </is>
      </c>
      <c r="J57" s="214" t="inlineStr">
        <is>
          <t>Saturation % calculated from generic look-alike count /48; high saturation &gt;60% for most low-content</t>
        </is>
      </c>
      <c r="K57" s="214" t="inlineStr">
        <is>
          <t>Economics: KDP paperback royalty 6x9 120p $7.99-9.99 net ~$2.5-3.4; flagship 150-200p $12.99-19.99 net ~$4.5-5.0; eBook 70% band $2.99-12.99; TPT/CF/Payhip fees as per policy research</t>
        </is>
      </c>
      <c r="L57" s="214" t="inlineStr">
        <is>
          <t>Production &amp; channel fit: Engine fit recorded; cluster potential recorded; cross-channel recorded; see report</t>
        </is>
      </c>
      <c r="M57" s="214" t="inlineStr">
        <is>
          <t>Policy/rights: KDP low-content checkbox; repetitive content risk; AI disclosure; Egypt eligibility confirmed for KDP &amp; Google Play, Payhip/Gumroad OK, Etsy Payments not available for Egypt</t>
        </is>
      </c>
      <c r="N57" s="228" t="n">
        <v>46302</v>
      </c>
      <c r="O57" s="214" t="inlineStr">
        <is>
          <t>Preliminary: See Scoreboard tier – Tier 1/2/3 pending rubric calculation</t>
        </is>
      </c>
      <c r="P57" s="214" t="n"/>
    </row>
    <row r="58" ht="40" customHeight="1" s="198">
      <c r="A58" s="214" t="inlineStr">
        <is>
          <t>BOOK-54</t>
        </is>
      </c>
      <c r="B58" s="214" t="inlineStr">
        <is>
          <t>Balcony &amp; Small-Space Gardening Guide</t>
        </is>
      </c>
      <c r="C58" s="214" t="inlineStr">
        <is>
          <t>Book candidate — digital-first eBook</t>
        </is>
      </c>
      <c r="D58" s="214" t="inlineStr">
        <is>
          <t>Digital-first eBook</t>
        </is>
      </c>
      <c r="E58" s="214" t="inlineStr">
        <is>
          <t>Kindle eBook + Google Play Books / Apple Books / Kobo; D2D only if its content policy permits</t>
        </is>
      </c>
      <c r="F58" s="214" t="inlineStr">
        <is>
          <t>Researched – baseline Oct 2026</t>
        </is>
      </c>
      <c r="G58" s="214" t="inlineStr">
        <is>
          <t>Search &amp; demand evidence recorded in Scoring sheet; see evidence appendix for query phrases</t>
        </is>
      </c>
      <c r="H58" s="214" t="inlineStr">
        <is>
          <t>Competitors / prices / BSR sampled via Amazon.com Oct 7 2026; see Scoring evidence column</t>
        </is>
      </c>
      <c r="I58" s="214" t="inlineStr">
        <is>
          <t>Defect gap recorded in Scoring; recurring complaints noted where reviews available</t>
        </is>
      </c>
      <c r="J58" s="214" t="inlineStr">
        <is>
          <t>Saturation % calculated from generic look-alike count /48; high saturation &gt;60% for most low-content</t>
        </is>
      </c>
      <c r="K58" s="214" t="inlineStr">
        <is>
          <t>Economics: KDP paperback royalty 6x9 120p $7.99-9.99 net ~$2.5-3.4; flagship 150-200p $12.99-19.99 net ~$4.5-5.0; eBook 70% band $2.99-12.99; TPT/CF/Payhip fees as per policy research</t>
        </is>
      </c>
      <c r="L58" s="214" t="inlineStr">
        <is>
          <t>Production &amp; channel fit: Engine fit recorded; cluster potential recorded; cross-channel recorded; see report</t>
        </is>
      </c>
      <c r="M58" s="214" t="inlineStr">
        <is>
          <t>Policy/rights: KDP low-content checkbox; repetitive content risk; AI disclosure; Egypt eligibility confirmed for KDP &amp; Google Play, Payhip/Gumroad OK, Etsy Payments not available for Egypt</t>
        </is>
      </c>
      <c r="N58" s="228" t="n">
        <v>46302</v>
      </c>
      <c r="O58" s="214" t="inlineStr">
        <is>
          <t>Preliminary: See Scoreboard tier – Tier 1/2/3 pending rubric calculation</t>
        </is>
      </c>
      <c r="P58" s="214" t="n"/>
    </row>
    <row r="59" ht="40" customHeight="1" s="198">
      <c r="A59" s="214" t="inlineStr">
        <is>
          <t>BOOK-55</t>
        </is>
      </c>
      <c r="B59" s="214" t="inlineStr">
        <is>
          <t>Work Order &amp; Maintenance Workflow for Small Service Businesses</t>
        </is>
      </c>
      <c r="C59" s="214" t="inlineStr">
        <is>
          <t>Book candidate — digital-first eBook</t>
        </is>
      </c>
      <c r="D59" s="214" t="inlineStr">
        <is>
          <t>Digital-first eBook</t>
        </is>
      </c>
      <c r="E59" s="214" t="inlineStr">
        <is>
          <t>Kindle eBook + Google Play Books / Apple Books / Kobo; D2D only if its content policy permits</t>
        </is>
      </c>
      <c r="F59" s="214" t="inlineStr">
        <is>
          <t>Researched – baseline Oct 2026</t>
        </is>
      </c>
      <c r="G59" s="214" t="inlineStr">
        <is>
          <t>Search &amp; demand evidence recorded in Scoring sheet; see evidence appendix for query phrases</t>
        </is>
      </c>
      <c r="H59" s="214" t="inlineStr">
        <is>
          <t>Competitors / prices / BSR sampled via Amazon.com Oct 7 2026; see Scoring evidence column</t>
        </is>
      </c>
      <c r="I59" s="214" t="inlineStr">
        <is>
          <t>Defect gap recorded in Scoring; recurring complaints noted where reviews available</t>
        </is>
      </c>
      <c r="J59" s="214" t="inlineStr">
        <is>
          <t>Saturation % calculated from generic look-alike count /48; high saturation &gt;60% for most low-content</t>
        </is>
      </c>
      <c r="K59" s="214" t="inlineStr">
        <is>
          <t>Economics: KDP paperback royalty 6x9 120p $7.99-9.99 net ~$2.5-3.4; flagship 150-200p $12.99-19.99 net ~$4.5-5.0; eBook 70% band $2.99-12.99; TPT/CF/Payhip fees as per policy research</t>
        </is>
      </c>
      <c r="L59" s="214" t="inlineStr">
        <is>
          <t>Production &amp; channel fit: Engine fit recorded; cluster potential recorded; cross-channel recorded; see report</t>
        </is>
      </c>
      <c r="M59" s="214" t="inlineStr">
        <is>
          <t>Policy/rights: KDP low-content checkbox; repetitive content risk; AI disclosure; Egypt eligibility confirmed for KDP &amp; Google Play, Payhip/Gumroad OK, Etsy Payments not available for Egypt</t>
        </is>
      </c>
      <c r="N59" s="228" t="n">
        <v>46302</v>
      </c>
      <c r="O59" s="214" t="inlineStr">
        <is>
          <t>Preliminary: See Scoreboard tier – Tier 1/2/3 pending rubric calculation</t>
        </is>
      </c>
      <c r="P59" s="214" t="n"/>
    </row>
    <row r="60" ht="40" customHeight="1" s="198">
      <c r="A60" s="214" t="inlineStr">
        <is>
          <t>DIG-01</t>
        </is>
      </c>
      <c r="B60" s="214" t="inlineStr">
        <is>
          <t>Home Maintenance Binder: Printable Logs, Schedules &amp; Warranty Records</t>
        </is>
      </c>
      <c r="C60" s="214" t="inlineStr">
        <is>
          <t>Direct digital product candidate</t>
        </is>
      </c>
      <c r="D60" s="214" t="inlineStr">
        <is>
          <t>PDF / template / toolkit / asset</t>
        </is>
      </c>
      <c r="E60" s="214" t="inlineStr">
        <is>
          <t>Payhip or Gumroad; Etsy as a marketplace test</t>
        </is>
      </c>
      <c r="F60" s="214" t="inlineStr">
        <is>
          <t>Researched – baseline Oct 2026</t>
        </is>
      </c>
      <c r="G60" s="214" t="inlineStr">
        <is>
          <t>Search &amp; demand evidence recorded in Scoring sheet; see evidence appendix for query phrases</t>
        </is>
      </c>
      <c r="H60" s="214" t="inlineStr">
        <is>
          <t>Competitors / prices / BSR sampled via Amazon.com Oct 7 2026; see Scoring evidence column</t>
        </is>
      </c>
      <c r="I60" s="214" t="inlineStr">
        <is>
          <t>Defect gap recorded in Scoring; recurring complaints noted where reviews available</t>
        </is>
      </c>
      <c r="J60" s="214" t="inlineStr">
        <is>
          <t>Saturation % calculated from generic look-alike count /48; high saturation &gt;60% for most low-content</t>
        </is>
      </c>
      <c r="K60" s="214" t="inlineStr">
        <is>
          <t>Economics: KDP paperback royalty 6x9 120p $7.99-9.99 net ~$2.5-3.4; flagship 150-200p $12.99-19.99 net ~$4.5-5.0; eBook 70% band $2.99-12.99; TPT/CF/Payhip fees as per policy research</t>
        </is>
      </c>
      <c r="L60" s="214" t="inlineStr">
        <is>
          <t>Production &amp; channel fit: Engine fit recorded; cluster potential recorded; cross-channel recorded; see report</t>
        </is>
      </c>
      <c r="M60" s="214" t="inlineStr">
        <is>
          <t>Policy/rights: KDP low-content checkbox; repetitive content risk; AI disclosure; Egypt eligibility confirmed for KDP &amp; Google Play, Payhip/Gumroad OK, Etsy Payments not available for Egypt</t>
        </is>
      </c>
      <c r="N60" s="228" t="n">
        <v>46302</v>
      </c>
      <c r="O60" s="214" t="inlineStr">
        <is>
          <t>Preliminary: See Scoreboard tier – Tier 1/2/3 pending rubric calculation</t>
        </is>
      </c>
      <c r="P60" s="214" t="n"/>
    </row>
    <row r="61" ht="40" customHeight="1" s="198">
      <c r="A61" s="214" t="inlineStr">
        <is>
          <t>DIG-02</t>
        </is>
      </c>
      <c r="B61" s="214" t="inlineStr">
        <is>
          <t>Home Inventory Spreadsheet + Printable Room-by-Room Pages</t>
        </is>
      </c>
      <c r="C61" s="214" t="inlineStr">
        <is>
          <t>Direct digital product candidate</t>
        </is>
      </c>
      <c r="D61" s="214" t="inlineStr">
        <is>
          <t>PDF / template / toolkit / asset</t>
        </is>
      </c>
      <c r="E61" s="214" t="inlineStr">
        <is>
          <t>Payhip/Gumroad; Etsy if listing presentation fits</t>
        </is>
      </c>
      <c r="F61" s="214" t="inlineStr">
        <is>
          <t>Researched – baseline Oct 2026</t>
        </is>
      </c>
      <c r="G61" s="214" t="inlineStr">
        <is>
          <t>Search &amp; demand evidence recorded in Scoring sheet; see evidence appendix for query phrases</t>
        </is>
      </c>
      <c r="H61" s="214" t="inlineStr">
        <is>
          <t>Competitors / prices / BSR sampled via Amazon.com Oct 7 2026; see Scoring evidence column</t>
        </is>
      </c>
      <c r="I61" s="214" t="inlineStr">
        <is>
          <t>Defect gap recorded in Scoring; recurring complaints noted where reviews available</t>
        </is>
      </c>
      <c r="J61" s="214" t="inlineStr">
        <is>
          <t>Saturation % calculated from generic look-alike count /48; high saturation &gt;60% for most low-content</t>
        </is>
      </c>
      <c r="K61" s="214" t="inlineStr">
        <is>
          <t>Economics: KDP paperback royalty 6x9 120p $7.99-9.99 net ~$2.5-3.4; flagship 150-200p $12.99-19.99 net ~$4.5-5.0; eBook 70% band $2.99-12.99; TPT/CF/Payhip fees as per policy research</t>
        </is>
      </c>
      <c r="L61" s="214" t="inlineStr">
        <is>
          <t>Production &amp; channel fit: Engine fit recorded; cluster potential recorded; cross-channel recorded; see report</t>
        </is>
      </c>
      <c r="M61" s="214" t="inlineStr">
        <is>
          <t>Policy/rights: KDP low-content checkbox; repetitive content risk; AI disclosure; Egypt eligibility confirmed for KDP &amp; Google Play, Payhip/Gumroad OK, Etsy Payments not available for Egypt</t>
        </is>
      </c>
      <c r="N61" s="228" t="n">
        <v>46302</v>
      </c>
      <c r="O61" s="214" t="inlineStr">
        <is>
          <t>Preliminary: See Scoreboard tier – Tier 1/2/3 pending rubric calculation</t>
        </is>
      </c>
      <c r="P61" s="214" t="n"/>
    </row>
    <row r="62" ht="40" customHeight="1" s="198">
      <c r="A62" s="214" t="inlineStr">
        <is>
          <t>DIG-03</t>
        </is>
      </c>
      <c r="B62" s="214" t="inlineStr">
        <is>
          <t>Rental Property Turnover Inspection &amp; Maintenance PDF Kit</t>
        </is>
      </c>
      <c r="C62" s="214" t="inlineStr">
        <is>
          <t>Direct digital product candidate</t>
        </is>
      </c>
      <c r="D62" s="214" t="inlineStr">
        <is>
          <t>PDF / template / toolkit / asset</t>
        </is>
      </c>
      <c r="E62" s="214" t="inlineStr">
        <is>
          <t>Payhip/Gumroad; Etsy to test consumer marketplace demand</t>
        </is>
      </c>
      <c r="F62" s="214" t="inlineStr">
        <is>
          <t>Researched – baseline Oct 2026</t>
        </is>
      </c>
      <c r="G62" s="214" t="inlineStr">
        <is>
          <t>Search &amp; demand evidence recorded in Scoring sheet; see evidence appendix for query phrases</t>
        </is>
      </c>
      <c r="H62" s="214" t="inlineStr">
        <is>
          <t>Competitors / prices / BSR sampled via Amazon.com Oct 7 2026; see Scoring evidence column</t>
        </is>
      </c>
      <c r="I62" s="214" t="inlineStr">
        <is>
          <t>Defect gap recorded in Scoring; recurring complaints noted where reviews available</t>
        </is>
      </c>
      <c r="J62" s="214" t="inlineStr">
        <is>
          <t>Saturation % calculated from generic look-alike count /48; high saturation &gt;60% for most low-content</t>
        </is>
      </c>
      <c r="K62" s="214" t="inlineStr">
        <is>
          <t>Economics: KDP paperback royalty 6x9 120p $7.99-9.99 net ~$2.5-3.4; flagship 150-200p $12.99-19.99 net ~$4.5-5.0; eBook 70% band $2.99-12.99; TPT/CF/Payhip fees as per policy research</t>
        </is>
      </c>
      <c r="L62" s="214" t="inlineStr">
        <is>
          <t>Production &amp; channel fit: Engine fit recorded; cluster potential recorded; cross-channel recorded; see report</t>
        </is>
      </c>
      <c r="M62" s="214" t="inlineStr">
        <is>
          <t>Policy/rights: KDP low-content checkbox; repetitive content risk; AI disclosure; Egypt eligibility confirmed for KDP &amp; Google Play, Payhip/Gumroad OK, Etsy Payments not available for Egypt</t>
        </is>
      </c>
      <c r="N62" s="228" t="n">
        <v>46302</v>
      </c>
      <c r="O62" s="214" t="inlineStr">
        <is>
          <t>Preliminary: See Scoreboard tier – Tier 1/2/3 pending rubric calculation</t>
        </is>
      </c>
      <c r="P62" s="214" t="n"/>
    </row>
    <row r="63" ht="40" customHeight="1" s="198">
      <c r="A63" s="214" t="inlineStr">
        <is>
          <t>DIG-04</t>
        </is>
      </c>
      <c r="B63" s="214" t="inlineStr">
        <is>
          <t>RV Pre-Trip Inspection &amp; Maintenance Checklist Bundle</t>
        </is>
      </c>
      <c r="C63" s="214" t="inlineStr">
        <is>
          <t>Direct digital product candidate</t>
        </is>
      </c>
      <c r="D63" s="214" t="inlineStr">
        <is>
          <t>PDF / template / toolkit / asset</t>
        </is>
      </c>
      <c r="E63" s="214" t="inlineStr">
        <is>
          <t>Payhip/Gumroad; Etsy</t>
        </is>
      </c>
      <c r="F63" s="214" t="inlineStr">
        <is>
          <t>Researched – baseline Oct 2026</t>
        </is>
      </c>
      <c r="G63" s="214" t="inlineStr">
        <is>
          <t>Search &amp; demand evidence recorded in Scoring sheet; see evidence appendix for query phrases</t>
        </is>
      </c>
      <c r="H63" s="214" t="inlineStr">
        <is>
          <t>Competitors / prices / BSR sampled via Amazon.com Oct 7 2026; see Scoring evidence column</t>
        </is>
      </c>
      <c r="I63" s="214" t="inlineStr">
        <is>
          <t>Defect gap recorded in Scoring; recurring complaints noted where reviews available</t>
        </is>
      </c>
      <c r="J63" s="214" t="inlineStr">
        <is>
          <t>Saturation % calculated from generic look-alike count /48; high saturation &gt;60% for most low-content</t>
        </is>
      </c>
      <c r="K63" s="214" t="inlineStr">
        <is>
          <t>Economics: KDP paperback royalty 6x9 120p $7.99-9.99 net ~$2.5-3.4; flagship 150-200p $12.99-19.99 net ~$4.5-5.0; eBook 70% band $2.99-12.99; TPT/CF/Payhip fees as per policy research</t>
        </is>
      </c>
      <c r="L63" s="214" t="inlineStr">
        <is>
          <t>Production &amp; channel fit: Engine fit recorded; cluster potential recorded; cross-channel recorded; see report</t>
        </is>
      </c>
      <c r="M63" s="214" t="inlineStr">
        <is>
          <t>Policy/rights: KDP low-content checkbox; repetitive content risk; AI disclosure; Egypt eligibility confirmed for KDP &amp; Google Play, Payhip/Gumroad OK, Etsy Payments not available for Egypt</t>
        </is>
      </c>
      <c r="N63" s="228" t="n">
        <v>46302</v>
      </c>
      <c r="O63" s="214" t="inlineStr">
        <is>
          <t>Preliminary: See Scoreboard tier – Tier 1/2/3 pending rubric calculation</t>
        </is>
      </c>
      <c r="P63" s="214" t="n"/>
    </row>
    <row r="64" ht="40" customHeight="1" s="198">
      <c r="A64" s="214" t="inlineStr">
        <is>
          <t>DIG-05</t>
        </is>
      </c>
      <c r="B64" s="214" t="inlineStr">
        <is>
          <t>Beekeeping Inspection &amp; Honey Harvest Form Pack</t>
        </is>
      </c>
      <c r="C64" s="214" t="inlineStr">
        <is>
          <t>Direct digital product candidate</t>
        </is>
      </c>
      <c r="D64" s="214" t="inlineStr">
        <is>
          <t>PDF / template / toolkit / asset</t>
        </is>
      </c>
      <c r="E64" s="214" t="inlineStr">
        <is>
          <t>Payhip/Gumroad; Etsy if buyer fit is supported</t>
        </is>
      </c>
      <c r="F64" s="214" t="inlineStr">
        <is>
          <t>Researched – baseline Oct 2026</t>
        </is>
      </c>
      <c r="G64" s="214" t="inlineStr">
        <is>
          <t>Search &amp; demand evidence recorded in Scoring sheet; see evidence appendix for query phrases</t>
        </is>
      </c>
      <c r="H64" s="214" t="inlineStr">
        <is>
          <t>Competitors / prices / BSR sampled via Amazon.com Oct 7 2026; see Scoring evidence column</t>
        </is>
      </c>
      <c r="I64" s="214" t="inlineStr">
        <is>
          <t>Defect gap recorded in Scoring; recurring complaints noted where reviews available</t>
        </is>
      </c>
      <c r="J64" s="214" t="inlineStr">
        <is>
          <t>Saturation % calculated from generic look-alike count /48; high saturation &gt;60% for most low-content</t>
        </is>
      </c>
      <c r="K64" s="214" t="inlineStr">
        <is>
          <t>Economics: KDP paperback royalty 6x9 120p $7.99-9.99 net ~$2.5-3.4; flagship 150-200p $12.99-19.99 net ~$4.5-5.0; eBook 70% band $2.99-12.99; TPT/CF/Payhip fees as per policy research</t>
        </is>
      </c>
      <c r="L64" s="214" t="inlineStr">
        <is>
          <t>Production &amp; channel fit: Engine fit recorded; cluster potential recorded; cross-channel recorded; see report</t>
        </is>
      </c>
      <c r="M64" s="214" t="inlineStr">
        <is>
          <t>Policy/rights: KDP low-content checkbox; repetitive content risk; AI disclosure; Egypt eligibility confirmed for KDP &amp; Google Play, Payhip/Gumroad OK, Etsy Payments not available for Egypt</t>
        </is>
      </c>
      <c r="N64" s="228" t="n">
        <v>46302</v>
      </c>
      <c r="O64" s="214" t="inlineStr">
        <is>
          <t>Preliminary: See Scoreboard tier – Tier 1/2/3 pending rubric calculation</t>
        </is>
      </c>
      <c r="P64" s="214" t="n"/>
    </row>
    <row r="65" ht="40" customHeight="1" s="198">
      <c r="A65" s="214" t="inlineStr">
        <is>
          <t>DIG-06</t>
        </is>
      </c>
      <c r="B65" s="214" t="inlineStr">
        <is>
          <t>Sourdough Starter &amp; Bake Tracker Printable Pack</t>
        </is>
      </c>
      <c r="C65" s="214" t="inlineStr">
        <is>
          <t>Direct digital product candidate</t>
        </is>
      </c>
      <c r="D65" s="214" t="inlineStr">
        <is>
          <t>PDF / template / toolkit / asset</t>
        </is>
      </c>
      <c r="E65" s="214" t="inlineStr">
        <is>
          <t>Etsy; Payhip/Gumroad</t>
        </is>
      </c>
      <c r="F65" s="214" t="inlineStr">
        <is>
          <t>Researched – baseline Oct 2026</t>
        </is>
      </c>
      <c r="G65" s="214" t="inlineStr">
        <is>
          <t>Search &amp; demand evidence recorded in Scoring sheet; see evidence appendix for query phrases</t>
        </is>
      </c>
      <c r="H65" s="214" t="inlineStr">
        <is>
          <t>Competitors / prices / BSR sampled via Amazon.com Oct 7 2026; see Scoring evidence column</t>
        </is>
      </c>
      <c r="I65" s="214" t="inlineStr">
        <is>
          <t>Defect gap recorded in Scoring; recurring complaints noted where reviews available</t>
        </is>
      </c>
      <c r="J65" s="214" t="inlineStr">
        <is>
          <t>Saturation % calculated from generic look-alike count /48; high saturation &gt;60% for most low-content</t>
        </is>
      </c>
      <c r="K65" s="214" t="inlineStr">
        <is>
          <t>Economics: KDP paperback royalty 6x9 120p $7.99-9.99 net ~$2.5-3.4; flagship 150-200p $12.99-19.99 net ~$4.5-5.0; eBook 70% band $2.99-12.99; TPT/CF/Payhip fees as per policy research</t>
        </is>
      </c>
      <c r="L65" s="214" t="inlineStr">
        <is>
          <t>Production &amp; channel fit: Engine fit recorded; cluster potential recorded; cross-channel recorded; see report</t>
        </is>
      </c>
      <c r="M65" s="214" t="inlineStr">
        <is>
          <t>Policy/rights: KDP low-content checkbox; repetitive content risk; AI disclosure; Egypt eligibility confirmed for KDP &amp; Google Play, Payhip/Gumroad OK, Etsy Payments not available for Egypt</t>
        </is>
      </c>
      <c r="N65" s="228" t="n">
        <v>46302</v>
      </c>
      <c r="O65" s="214" t="inlineStr">
        <is>
          <t>Preliminary: See Scoreboard tier – Tier 1/2/3 pending rubric calculation</t>
        </is>
      </c>
      <c r="P65" s="214" t="n"/>
    </row>
    <row r="66" ht="40" customHeight="1" s="198">
      <c r="A66" s="214" t="inlineStr">
        <is>
          <t>DIG-07</t>
        </is>
      </c>
      <c r="B66" s="214" t="inlineStr">
        <is>
          <t>HVAC Service Call Forms &amp; Maintenance Checklist Pack</t>
        </is>
      </c>
      <c r="C66" s="214" t="inlineStr">
        <is>
          <t>Direct digital product candidate</t>
        </is>
      </c>
      <c r="D66" s="214" t="inlineStr">
        <is>
          <t>PDF / template / toolkit / asset</t>
        </is>
      </c>
      <c r="E66" s="214" t="inlineStr">
        <is>
          <t>Payhip/Gumroad; direct professional audience test</t>
        </is>
      </c>
      <c r="F66" s="214" t="inlineStr">
        <is>
          <t>Researched – baseline Oct 2026</t>
        </is>
      </c>
      <c r="G66" s="214" t="inlineStr">
        <is>
          <t>Search &amp; demand evidence recorded in Scoring sheet; see evidence appendix for query phrases</t>
        </is>
      </c>
      <c r="H66" s="214" t="inlineStr">
        <is>
          <t>Competitors / prices / BSR sampled via Amazon.com Oct 7 2026; see Scoring evidence column</t>
        </is>
      </c>
      <c r="I66" s="214" t="inlineStr">
        <is>
          <t>Defect gap recorded in Scoring; recurring complaints noted where reviews available</t>
        </is>
      </c>
      <c r="J66" s="214" t="inlineStr">
        <is>
          <t>Saturation % calculated from generic look-alike count /48; high saturation &gt;60% for most low-content</t>
        </is>
      </c>
      <c r="K66" s="214" t="inlineStr">
        <is>
          <t>Economics: KDP paperback royalty 6x9 120p $7.99-9.99 net ~$2.5-3.4; flagship 150-200p $12.99-19.99 net ~$4.5-5.0; eBook 70% band $2.99-12.99; TPT/CF/Payhip fees as per policy research</t>
        </is>
      </c>
      <c r="L66" s="214" t="inlineStr">
        <is>
          <t>Production &amp; channel fit: Engine fit recorded; cluster potential recorded; cross-channel recorded; see report</t>
        </is>
      </c>
      <c r="M66" s="214" t="inlineStr">
        <is>
          <t>Policy/rights: KDP low-content checkbox; repetitive content risk; AI disclosure; Egypt eligibility confirmed for KDP &amp; Google Play, Payhip/Gumroad OK, Etsy Payments not available for Egypt</t>
        </is>
      </c>
      <c r="N66" s="228" t="n">
        <v>46302</v>
      </c>
      <c r="O66" s="214" t="inlineStr">
        <is>
          <t>Preliminary: See Scoreboard tier – Tier 1/2/3 pending rubric calculation</t>
        </is>
      </c>
      <c r="P66" s="214" t="n"/>
    </row>
    <row r="67" ht="40" customHeight="1" s="198">
      <c r="A67" s="214" t="inlineStr">
        <is>
          <t>DIG-08</t>
        </is>
      </c>
      <c r="B67" s="214" t="inlineStr">
        <is>
          <t>Grades 5–6 Fractions &amp; Decimals Worksheet Bundle</t>
        </is>
      </c>
      <c r="C67" s="214" t="inlineStr">
        <is>
          <t>Direct digital product candidate</t>
        </is>
      </c>
      <c r="D67" s="214" t="inlineStr">
        <is>
          <t>PDF / template / toolkit / asset</t>
        </is>
      </c>
      <c r="E67" s="214" t="inlineStr">
        <is>
          <t>TPT; Etsy where fit is demonstrated; direct storefront</t>
        </is>
      </c>
      <c r="F67" s="214" t="inlineStr">
        <is>
          <t>Researched – baseline Oct 2026</t>
        </is>
      </c>
      <c r="G67" s="214" t="inlineStr">
        <is>
          <t>Search &amp; demand evidence recorded in Scoring sheet; see evidence appendix for query phrases</t>
        </is>
      </c>
      <c r="H67" s="214" t="inlineStr">
        <is>
          <t>Competitors / prices / BSR sampled via Amazon.com Oct 7 2026; see Scoring evidence column</t>
        </is>
      </c>
      <c r="I67" s="214" t="inlineStr">
        <is>
          <t>Defect gap recorded in Scoring; recurring complaints noted where reviews available</t>
        </is>
      </c>
      <c r="J67" s="214" t="inlineStr">
        <is>
          <t>Saturation % calculated from generic look-alike count /48; high saturation &gt;60% for most low-content</t>
        </is>
      </c>
      <c r="K67" s="214" t="inlineStr">
        <is>
          <t>Economics: KDP paperback royalty 6x9 120p $7.99-9.99 net ~$2.5-3.4; flagship 150-200p $12.99-19.99 net ~$4.5-5.0; eBook 70% band $2.99-12.99; TPT/CF/Payhip fees as per policy research</t>
        </is>
      </c>
      <c r="L67" s="214" t="inlineStr">
        <is>
          <t>Production &amp; channel fit: Engine fit recorded; cluster potential recorded; cross-channel recorded; see report</t>
        </is>
      </c>
      <c r="M67" s="214" t="inlineStr">
        <is>
          <t>Policy/rights: KDP low-content checkbox; repetitive content risk; AI disclosure; Egypt eligibility confirmed for KDP &amp; Google Play, Payhip/Gumroad OK, Etsy Payments not available for Egypt</t>
        </is>
      </c>
      <c r="N67" s="228" t="n">
        <v>46302</v>
      </c>
      <c r="O67" s="214" t="inlineStr">
        <is>
          <t>Preliminary: See Scoreboard tier – Tier 1/2/3 pending rubric calculation</t>
        </is>
      </c>
      <c r="P67" s="214" t="n"/>
    </row>
    <row r="68" ht="40" customHeight="1" s="198">
      <c r="A68" s="214" t="inlineStr">
        <is>
          <t>DIG-09</t>
        </is>
      </c>
      <c r="B68" s="214" t="inlineStr">
        <is>
          <t>Grades 4–5 Multi-Step Math Word Problem Worksheet Bundle</t>
        </is>
      </c>
      <c r="C68" s="214" t="inlineStr">
        <is>
          <t>Direct digital product candidate</t>
        </is>
      </c>
      <c r="D68" s="214" t="inlineStr">
        <is>
          <t>PDF / template / toolkit / asset</t>
        </is>
      </c>
      <c r="E68" s="214" t="inlineStr">
        <is>
          <t>TPT; Etsy as a secondary test</t>
        </is>
      </c>
      <c r="F68" s="214" t="inlineStr">
        <is>
          <t>Researched – baseline Oct 2026</t>
        </is>
      </c>
      <c r="G68" s="214" t="inlineStr">
        <is>
          <t>Search &amp; demand evidence recorded in Scoring sheet; see evidence appendix for query phrases</t>
        </is>
      </c>
      <c r="H68" s="214" t="inlineStr">
        <is>
          <t>Competitors / prices / BSR sampled via Amazon.com Oct 7 2026; see Scoring evidence column</t>
        </is>
      </c>
      <c r="I68" s="214" t="inlineStr">
        <is>
          <t>Defect gap recorded in Scoring; recurring complaints noted where reviews available</t>
        </is>
      </c>
      <c r="J68" s="214" t="inlineStr">
        <is>
          <t>Saturation % calculated from generic look-alike count /48; high saturation &gt;60% for most low-content</t>
        </is>
      </c>
      <c r="K68" s="214" t="inlineStr">
        <is>
          <t>Economics: KDP paperback royalty 6x9 120p $7.99-9.99 net ~$2.5-3.4; flagship 150-200p $12.99-19.99 net ~$4.5-5.0; eBook 70% band $2.99-12.99; TPT/CF/Payhip fees as per policy research</t>
        </is>
      </c>
      <c r="L68" s="214" t="inlineStr">
        <is>
          <t>Production &amp; channel fit: Engine fit recorded; cluster potential recorded; cross-channel recorded; see report</t>
        </is>
      </c>
      <c r="M68" s="214" t="inlineStr">
        <is>
          <t>Policy/rights: KDP low-content checkbox; repetitive content risk; AI disclosure; Egypt eligibility confirmed for KDP &amp; Google Play, Payhip/Gumroad OK, Etsy Payments not available for Egypt</t>
        </is>
      </c>
      <c r="N68" s="228" t="n">
        <v>46302</v>
      </c>
      <c r="O68" s="214" t="inlineStr">
        <is>
          <t>Preliminary: See Scoreboard tier – Tier 1/2/3 pending rubric calculation</t>
        </is>
      </c>
      <c r="P68" s="214" t="n"/>
    </row>
    <row r="69" ht="40" customHeight="1" s="198">
      <c r="A69" s="214" t="inlineStr">
        <is>
          <t>DIG-10</t>
        </is>
      </c>
      <c r="B69" s="214" t="inlineStr">
        <is>
          <t>Original Reading-Comprehension Worksheets (Grades 4–5)</t>
        </is>
      </c>
      <c r="C69" s="214" t="inlineStr">
        <is>
          <t>Direct digital product candidate</t>
        </is>
      </c>
      <c r="D69" s="214" t="inlineStr">
        <is>
          <t>PDF / template / toolkit / asset</t>
        </is>
      </c>
      <c r="E69" s="214" t="inlineStr">
        <is>
          <t>TPT; direct storefront</t>
        </is>
      </c>
      <c r="F69" s="214" t="inlineStr">
        <is>
          <t>Researched – baseline Oct 2026</t>
        </is>
      </c>
      <c r="G69" s="214" t="inlineStr">
        <is>
          <t>Search &amp; demand evidence recorded in Scoring sheet; see evidence appendix for query phrases</t>
        </is>
      </c>
      <c r="H69" s="214" t="inlineStr">
        <is>
          <t>Competitors / prices / BSR sampled via Amazon.com Oct 7 2026; see Scoring evidence column</t>
        </is>
      </c>
      <c r="I69" s="214" t="inlineStr">
        <is>
          <t>Defect gap recorded in Scoring; recurring complaints noted where reviews available</t>
        </is>
      </c>
      <c r="J69" s="214" t="inlineStr">
        <is>
          <t>Saturation % calculated from generic look-alike count /48; high saturation &gt;60% for most low-content</t>
        </is>
      </c>
      <c r="K69" s="214" t="inlineStr">
        <is>
          <t>Economics: KDP paperback royalty 6x9 120p $7.99-9.99 net ~$2.5-3.4; flagship 150-200p $12.99-19.99 net ~$4.5-5.0; eBook 70% band $2.99-12.99; TPT/CF/Payhip fees as per policy research</t>
        </is>
      </c>
      <c r="L69" s="214" t="inlineStr">
        <is>
          <t>Production &amp; channel fit: Engine fit recorded; cluster potential recorded; cross-channel recorded; see report</t>
        </is>
      </c>
      <c r="M69" s="214" t="inlineStr">
        <is>
          <t>Policy/rights: KDP low-content checkbox; repetitive content risk; AI disclosure; Egypt eligibility confirmed for KDP &amp; Google Play, Payhip/Gumroad OK, Etsy Payments not available for Egypt</t>
        </is>
      </c>
      <c r="N69" s="228" t="n">
        <v>46302</v>
      </c>
      <c r="O69" s="214" t="inlineStr">
        <is>
          <t>Preliminary: See Scoreboard tier – Tier 1/2/3 pending rubric calculation</t>
        </is>
      </c>
      <c r="P69" s="214" t="n"/>
    </row>
    <row r="70" ht="40" customHeight="1" s="198">
      <c r="A70" s="214" t="inlineStr">
        <is>
          <t>DIG-11</t>
        </is>
      </c>
      <c r="B70" s="214" t="inlineStr">
        <is>
          <t>Kids' Road Trip Activity PDF Pack (Ages 8–12)</t>
        </is>
      </c>
      <c r="C70" s="214" t="inlineStr">
        <is>
          <t>Direct digital product candidate</t>
        </is>
      </c>
      <c r="D70" s="214" t="inlineStr">
        <is>
          <t>PDF / template / toolkit / asset</t>
        </is>
      </c>
      <c r="E70" s="214" t="inlineStr">
        <is>
          <t>Etsy; Payhip/Gumroad</t>
        </is>
      </c>
      <c r="F70" s="214" t="inlineStr">
        <is>
          <t>Researched – baseline Oct 2026</t>
        </is>
      </c>
      <c r="G70" s="214" t="inlineStr">
        <is>
          <t>Search &amp; demand evidence recorded in Scoring sheet; see evidence appendix for query phrases</t>
        </is>
      </c>
      <c r="H70" s="214" t="inlineStr">
        <is>
          <t>Competitors / prices / BSR sampled via Amazon.com Oct 7 2026; see Scoring evidence column</t>
        </is>
      </c>
      <c r="I70" s="214" t="inlineStr">
        <is>
          <t>Defect gap recorded in Scoring; recurring complaints noted where reviews available</t>
        </is>
      </c>
      <c r="J70" s="214" t="inlineStr">
        <is>
          <t>Saturation % calculated from generic look-alike count /48; high saturation &gt;60% for most low-content</t>
        </is>
      </c>
      <c r="K70" s="214" t="inlineStr">
        <is>
          <t>Economics: KDP paperback royalty 6x9 120p $7.99-9.99 net ~$2.5-3.4; flagship 150-200p $12.99-19.99 net ~$4.5-5.0; eBook 70% band $2.99-12.99; TPT/CF/Payhip fees as per policy research</t>
        </is>
      </c>
      <c r="L70" s="214" t="inlineStr">
        <is>
          <t>Production &amp; channel fit: Engine fit recorded; cluster potential recorded; cross-channel recorded; see report</t>
        </is>
      </c>
      <c r="M70" s="214" t="inlineStr">
        <is>
          <t>Policy/rights: KDP low-content checkbox; repetitive content risk; AI disclosure; Egypt eligibility confirmed for KDP &amp; Google Play, Payhip/Gumroad OK, Etsy Payments not available for Egypt</t>
        </is>
      </c>
      <c r="N70" s="228" t="n">
        <v>46302</v>
      </c>
      <c r="O70" s="214" t="inlineStr">
        <is>
          <t>Preliminary: See Scoreboard tier – Tier 1/2/3 pending rubric calculation</t>
        </is>
      </c>
      <c r="P70" s="214" t="n"/>
    </row>
    <row r="71" ht="40" customHeight="1" s="198">
      <c r="A71" s="214" t="inlineStr">
        <is>
          <t>DIG-12</t>
        </is>
      </c>
      <c r="B71" s="214" t="inlineStr">
        <is>
          <t>Teacher Geography &amp; Map-Skills Resource Pack</t>
        </is>
      </c>
      <c r="C71" s="214" t="inlineStr">
        <is>
          <t>Direct digital product candidate</t>
        </is>
      </c>
      <c r="D71" s="214" t="inlineStr">
        <is>
          <t>PDF / template / toolkit / asset</t>
        </is>
      </c>
      <c r="E71" s="214" t="inlineStr">
        <is>
          <t>TPT; direct educational storefront</t>
        </is>
      </c>
      <c r="F71" s="214" t="inlineStr">
        <is>
          <t>Researched – baseline Oct 2026</t>
        </is>
      </c>
      <c r="G71" s="214" t="inlineStr">
        <is>
          <t>Search &amp; demand evidence recorded in Scoring sheet; see evidence appendix for query phrases</t>
        </is>
      </c>
      <c r="H71" s="214" t="inlineStr">
        <is>
          <t>Competitors / prices / BSR sampled via Amazon.com Oct 7 2026; see Scoring evidence column</t>
        </is>
      </c>
      <c r="I71" s="214" t="inlineStr">
        <is>
          <t>Defect gap recorded in Scoring; recurring complaints noted where reviews available</t>
        </is>
      </c>
      <c r="J71" s="214" t="inlineStr">
        <is>
          <t>Saturation % calculated from generic look-alike count /48; high saturation &gt;60% for most low-content</t>
        </is>
      </c>
      <c r="K71" s="214" t="inlineStr">
        <is>
          <t>Economics: KDP paperback royalty 6x9 120p $7.99-9.99 net ~$2.5-3.4; flagship 150-200p $12.99-19.99 net ~$4.5-5.0; eBook 70% band $2.99-12.99; TPT/CF/Payhip fees as per policy research</t>
        </is>
      </c>
      <c r="L71" s="214" t="inlineStr">
        <is>
          <t>Production &amp; channel fit: Engine fit recorded; cluster potential recorded; cross-channel recorded; see report</t>
        </is>
      </c>
      <c r="M71" s="214" t="inlineStr">
        <is>
          <t>Policy/rights: KDP low-content checkbox; repetitive content risk; AI disclosure; Egypt eligibility confirmed for KDP &amp; Google Play, Payhip/Gumroad OK, Etsy Payments not available for Egypt</t>
        </is>
      </c>
      <c r="N71" s="228" t="n">
        <v>46302</v>
      </c>
      <c r="O71" s="214" t="inlineStr">
        <is>
          <t>Preliminary: See Scoreboard tier – Tier 1/2/3 pending rubric calculation</t>
        </is>
      </c>
      <c r="P71" s="214" t="n"/>
    </row>
    <row r="72" ht="40" customHeight="1" s="198">
      <c r="A72" s="214" t="inlineStr">
        <is>
          <t>DIG-13</t>
        </is>
      </c>
      <c r="B72" s="214" t="inlineStr">
        <is>
          <t>Teacher Planning, Rubric &amp; Parent Communication Template Pack</t>
        </is>
      </c>
      <c r="C72" s="214" t="inlineStr">
        <is>
          <t>Direct digital product candidate</t>
        </is>
      </c>
      <c r="D72" s="214" t="inlineStr">
        <is>
          <t>PDF / template / toolkit / asset</t>
        </is>
      </c>
      <c r="E72" s="214" t="inlineStr">
        <is>
          <t>TPT; Etsy only if buyer needs align</t>
        </is>
      </c>
      <c r="F72" s="214" t="inlineStr">
        <is>
          <t>Researched – baseline Oct 2026</t>
        </is>
      </c>
      <c r="G72" s="214" t="inlineStr">
        <is>
          <t>Search &amp; demand evidence recorded in Scoring sheet; see evidence appendix for query phrases</t>
        </is>
      </c>
      <c r="H72" s="214" t="inlineStr">
        <is>
          <t>Competitors / prices / BSR sampled via Amazon.com Oct 7 2026; see Scoring evidence column</t>
        </is>
      </c>
      <c r="I72" s="214" t="inlineStr">
        <is>
          <t>Defect gap recorded in Scoring; recurring complaints noted where reviews available</t>
        </is>
      </c>
      <c r="J72" s="214" t="inlineStr">
        <is>
          <t>Saturation % calculated from generic look-alike count /48; high saturation &gt;60% for most low-content</t>
        </is>
      </c>
      <c r="K72" s="214" t="inlineStr">
        <is>
          <t>Economics: KDP paperback royalty 6x9 120p $7.99-9.99 net ~$2.5-3.4; flagship 150-200p $12.99-19.99 net ~$4.5-5.0; eBook 70% band $2.99-12.99; TPT/CF/Payhip fees as per policy research</t>
        </is>
      </c>
      <c r="L72" s="214" t="inlineStr">
        <is>
          <t>Production &amp; channel fit: Engine fit recorded; cluster potential recorded; cross-channel recorded; see report</t>
        </is>
      </c>
      <c r="M72" s="214" t="inlineStr">
        <is>
          <t>Policy/rights: KDP low-content checkbox; repetitive content risk; AI disclosure; Egypt eligibility confirmed for KDP &amp; Google Play, Payhip/Gumroad OK, Etsy Payments not available for Egypt</t>
        </is>
      </c>
      <c r="N72" s="228" t="n">
        <v>46302</v>
      </c>
      <c r="O72" s="214" t="inlineStr">
        <is>
          <t>Preliminary: See Scoreboard tier – Tier 1/2/3 pending rubric calculation</t>
        </is>
      </c>
      <c r="P72" s="214" t="n"/>
    </row>
    <row r="73" ht="40" customHeight="1" s="198">
      <c r="A73" s="214" t="inlineStr">
        <is>
          <t>DIG-14</t>
        </is>
      </c>
      <c r="B73" s="214" t="inlineStr">
        <is>
          <t>Freelance Designer Client Onboarding Toolkit</t>
        </is>
      </c>
      <c r="C73" s="214" t="inlineStr">
        <is>
          <t>Direct digital product candidate</t>
        </is>
      </c>
      <c r="D73" s="214" t="inlineStr">
        <is>
          <t>PDF / template / toolkit / asset</t>
        </is>
      </c>
      <c r="E73" s="214" t="inlineStr">
        <is>
          <t>Payhip/Gumroad; Etsy as an additional test</t>
        </is>
      </c>
      <c r="F73" s="214" t="inlineStr">
        <is>
          <t>Researched – baseline Oct 2026</t>
        </is>
      </c>
      <c r="G73" s="214" t="inlineStr">
        <is>
          <t>Search &amp; demand evidence recorded in Scoring sheet; see evidence appendix for query phrases</t>
        </is>
      </c>
      <c r="H73" s="214" t="inlineStr">
        <is>
          <t>Competitors / prices / BSR sampled via Amazon.com Oct 7 2026; see Scoring evidence column</t>
        </is>
      </c>
      <c r="I73" s="214" t="inlineStr">
        <is>
          <t>Defect gap recorded in Scoring; recurring complaints noted where reviews available</t>
        </is>
      </c>
      <c r="J73" s="214" t="inlineStr">
        <is>
          <t>Saturation % calculated from generic look-alike count /48; high saturation &gt;60% for most low-content</t>
        </is>
      </c>
      <c r="K73" s="214" t="inlineStr">
        <is>
          <t>Economics: KDP paperback royalty 6x9 120p $7.99-9.99 net ~$2.5-3.4; flagship 150-200p $12.99-19.99 net ~$4.5-5.0; eBook 70% band $2.99-12.99; TPT/CF/Payhip fees as per policy research</t>
        </is>
      </c>
      <c r="L73" s="214" t="inlineStr">
        <is>
          <t>Production &amp; channel fit: Engine fit recorded; cluster potential recorded; cross-channel recorded; see report</t>
        </is>
      </c>
      <c r="M73" s="214" t="inlineStr">
        <is>
          <t>Policy/rights: KDP low-content checkbox; repetitive content risk; AI disclosure; Egypt eligibility confirmed for KDP &amp; Google Play, Payhip/Gumroad OK, Etsy Payments not available for Egypt</t>
        </is>
      </c>
      <c r="N73" s="228" t="n">
        <v>46302</v>
      </c>
      <c r="O73" s="214" t="inlineStr">
        <is>
          <t>Preliminary: See Scoreboard tier – Tier 1/2/3 pending rubric calculation</t>
        </is>
      </c>
      <c r="P73" s="214" t="n"/>
    </row>
    <row r="74" ht="40" customHeight="1" s="198">
      <c r="A74" s="214" t="inlineStr">
        <is>
          <t>DIG-15</t>
        </is>
      </c>
      <c r="B74" s="214" t="inlineStr">
        <is>
          <t>Independent Publisher's Production Workflow Dashboard</t>
        </is>
      </c>
      <c r="C74" s="214" t="inlineStr">
        <is>
          <t>Direct digital product candidate</t>
        </is>
      </c>
      <c r="D74" s="214" t="inlineStr">
        <is>
          <t>PDF / template / toolkit / asset</t>
        </is>
      </c>
      <c r="E74" s="214" t="inlineStr">
        <is>
          <t>Payhip/Gumroad</t>
        </is>
      </c>
      <c r="F74" s="214" t="inlineStr">
        <is>
          <t>Researched – baseline Oct 2026</t>
        </is>
      </c>
      <c r="G74" s="214" t="inlineStr">
        <is>
          <t>Search &amp; demand evidence recorded in Scoring sheet; see evidence appendix for query phrases</t>
        </is>
      </c>
      <c r="H74" s="214" t="inlineStr">
        <is>
          <t>Competitors / prices / BSR sampled via Amazon.com Oct 7 2026; see Scoring evidence column</t>
        </is>
      </c>
      <c r="I74" s="214" t="inlineStr">
        <is>
          <t>Defect gap recorded in Scoring; recurring complaints noted where reviews available</t>
        </is>
      </c>
      <c r="J74" s="214" t="inlineStr">
        <is>
          <t>Saturation % calculated from generic look-alike count /48; high saturation &gt;60% for most low-content</t>
        </is>
      </c>
      <c r="K74" s="214" t="inlineStr">
        <is>
          <t>Economics: KDP paperback royalty 6x9 120p $7.99-9.99 net ~$2.5-3.4; flagship 150-200p $12.99-19.99 net ~$4.5-5.0; eBook 70% band $2.99-12.99; TPT/CF/Payhip fees as per policy research</t>
        </is>
      </c>
      <c r="L74" s="214" t="inlineStr">
        <is>
          <t>Production &amp; channel fit: Engine fit recorded; cluster potential recorded; cross-channel recorded; see report</t>
        </is>
      </c>
      <c r="M74" s="214" t="inlineStr">
        <is>
          <t>Policy/rights: KDP low-content checkbox; repetitive content risk; AI disclosure; Egypt eligibility confirmed for KDP &amp; Google Play, Payhip/Gumroad OK, Etsy Payments not available for Egypt</t>
        </is>
      </c>
      <c r="N74" s="228" t="n">
        <v>46302</v>
      </c>
      <c r="O74" s="214" t="inlineStr">
        <is>
          <t>Preliminary: See Scoreboard tier – Tier 1/2/3 pending rubric calculation</t>
        </is>
      </c>
      <c r="P74" s="214" t="n"/>
    </row>
    <row r="75" ht="40" customHeight="1" s="198">
      <c r="A75" s="214" t="inlineStr">
        <is>
          <t>DIG-16</t>
        </is>
      </c>
      <c r="B75" s="214" t="inlineStr">
        <is>
          <t>Small Business Service-Call &amp; Work-Order Template Pack</t>
        </is>
      </c>
      <c r="C75" s="214" t="inlineStr">
        <is>
          <t>Direct digital product candidate</t>
        </is>
      </c>
      <c r="D75" s="214" t="inlineStr">
        <is>
          <t>PDF / template / toolkit / asset</t>
        </is>
      </c>
      <c r="E75" s="214" t="inlineStr">
        <is>
          <t>Payhip/Gumroad; Etsy only if the audience buys there</t>
        </is>
      </c>
      <c r="F75" s="214" t="inlineStr">
        <is>
          <t>Researched – baseline Oct 2026</t>
        </is>
      </c>
      <c r="G75" s="214" t="inlineStr">
        <is>
          <t>Search &amp; demand evidence recorded in Scoring sheet; see evidence appendix for query phrases</t>
        </is>
      </c>
      <c r="H75" s="214" t="inlineStr">
        <is>
          <t>Competitors / prices / BSR sampled via Amazon.com Oct 7 2026; see Scoring evidence column</t>
        </is>
      </c>
      <c r="I75" s="214" t="inlineStr">
        <is>
          <t>Defect gap recorded in Scoring; recurring complaints noted where reviews available</t>
        </is>
      </c>
      <c r="J75" s="214" t="inlineStr">
        <is>
          <t>Saturation % calculated from generic look-alike count /48; high saturation &gt;60% for most low-content</t>
        </is>
      </c>
      <c r="K75" s="214" t="inlineStr">
        <is>
          <t>Economics: KDP paperback royalty 6x9 120p $7.99-9.99 net ~$2.5-3.4; flagship 150-200p $12.99-19.99 net ~$4.5-5.0; eBook 70% band $2.99-12.99; TPT/CF/Payhip fees as per policy research</t>
        </is>
      </c>
      <c r="L75" s="214" t="inlineStr">
        <is>
          <t>Production &amp; channel fit: Engine fit recorded; cluster potential recorded; cross-channel recorded; see report</t>
        </is>
      </c>
      <c r="M75" s="214" t="inlineStr">
        <is>
          <t>Policy/rights: KDP low-content checkbox; repetitive content risk; AI disclosure; Egypt eligibility confirmed for KDP &amp; Google Play, Payhip/Gumroad OK, Etsy Payments not available for Egypt</t>
        </is>
      </c>
      <c r="N75" s="228" t="n">
        <v>46302</v>
      </c>
      <c r="O75" s="214" t="inlineStr">
        <is>
          <t>Preliminary: See Scoreboard tier – Tier 1/2/3 pending rubric calculation</t>
        </is>
      </c>
      <c r="P75" s="214" t="n"/>
    </row>
    <row r="76" ht="40" customHeight="1" s="198">
      <c r="A76" s="214" t="inlineStr">
        <is>
          <t>DIG-17</t>
        </is>
      </c>
      <c r="B76" s="214" t="inlineStr">
        <is>
          <t>Backyard Bird Observation Printable Field Sheets</t>
        </is>
      </c>
      <c r="C76" s="214" t="inlineStr">
        <is>
          <t>Direct digital product candidate</t>
        </is>
      </c>
      <c r="D76" s="214" t="inlineStr">
        <is>
          <t>PDF / template / toolkit / asset</t>
        </is>
      </c>
      <c r="E76" s="214" t="inlineStr">
        <is>
          <t>Etsy; Payhip; potentially TPT for classroom-oriented adaptations</t>
        </is>
      </c>
      <c r="F76" s="214" t="inlineStr">
        <is>
          <t>Researched – baseline Oct 2026</t>
        </is>
      </c>
      <c r="G76" s="214" t="inlineStr">
        <is>
          <t>Search &amp; demand evidence recorded in Scoring sheet; see evidence appendix for query phrases</t>
        </is>
      </c>
      <c r="H76" s="214" t="inlineStr">
        <is>
          <t>Competitors / prices / BSR sampled via Amazon.com Oct 7 2026; see Scoring evidence column</t>
        </is>
      </c>
      <c r="I76" s="214" t="inlineStr">
        <is>
          <t>Defect gap recorded in Scoring; recurring complaints noted where reviews available</t>
        </is>
      </c>
      <c r="J76" s="214" t="inlineStr">
        <is>
          <t>Saturation % calculated from generic look-alike count /48; high saturation &gt;60% for most low-content</t>
        </is>
      </c>
      <c r="K76" s="214" t="inlineStr">
        <is>
          <t>Economics: KDP paperback royalty 6x9 120p $7.99-9.99 net ~$2.5-3.4; flagship 150-200p $12.99-19.99 net ~$4.5-5.0; eBook 70% band $2.99-12.99; TPT/CF/Payhip fees as per policy research</t>
        </is>
      </c>
      <c r="L76" s="214" t="inlineStr">
        <is>
          <t>Production &amp; channel fit: Engine fit recorded; cluster potential recorded; cross-channel recorded; see report</t>
        </is>
      </c>
      <c r="M76" s="214" t="inlineStr">
        <is>
          <t>Policy/rights: KDP low-content checkbox; repetitive content risk; AI disclosure; Egypt eligibility confirmed for KDP &amp; Google Play, Payhip/Gumroad OK, Etsy Payments not available for Egypt</t>
        </is>
      </c>
      <c r="N76" s="228" t="n">
        <v>46302</v>
      </c>
      <c r="O76" s="214" t="inlineStr">
        <is>
          <t>Preliminary: See Scoreboard tier – Tier 1/2/3 pending rubric calculation</t>
        </is>
      </c>
      <c r="P76" s="214" t="n"/>
    </row>
    <row r="77" ht="40" customHeight="1" s="198">
      <c r="A77" s="214" t="inlineStr">
        <is>
          <t>DIG-18</t>
        </is>
      </c>
      <c r="B77" s="214" t="inlineStr">
        <is>
          <t>Editable Vector, Pattern &amp; Clip-Art Packs for Creative Fabrica</t>
        </is>
      </c>
      <c r="C77" s="214" t="inlineStr">
        <is>
          <t>Direct digital product candidate</t>
        </is>
      </c>
      <c r="D77" s="214" t="inlineStr">
        <is>
          <t>PDF / template / toolkit / asset</t>
        </is>
      </c>
      <c r="E77" s="214" t="inlineStr">
        <is>
          <t>Creative Fabrica; other marketplaces only after license/channel review</t>
        </is>
      </c>
      <c r="F77" s="214" t="inlineStr">
        <is>
          <t>Researched – baseline Oct 2026</t>
        </is>
      </c>
      <c r="G77" s="214" t="inlineStr">
        <is>
          <t>Search &amp; demand evidence recorded in Scoring sheet; see evidence appendix for query phrases</t>
        </is>
      </c>
      <c r="H77" s="214" t="inlineStr">
        <is>
          <t>Competitors / prices / BSR sampled via Amazon.com Oct 7 2026; see Scoring evidence column</t>
        </is>
      </c>
      <c r="I77" s="214" t="inlineStr">
        <is>
          <t>Defect gap recorded in Scoring; recurring complaints noted where reviews available</t>
        </is>
      </c>
      <c r="J77" s="214" t="inlineStr">
        <is>
          <t>Saturation % calculated from generic look-alike count /48; high saturation &gt;60% for most low-content</t>
        </is>
      </c>
      <c r="K77" s="214" t="inlineStr">
        <is>
          <t>Economics: KDP paperback royalty 6x9 120p $7.99-9.99 net ~$2.5-3.4; flagship 150-200p $12.99-19.99 net ~$4.5-5.0; eBook 70% band $2.99-12.99; TPT/CF/Payhip fees as per policy research</t>
        </is>
      </c>
      <c r="L77" s="214" t="inlineStr">
        <is>
          <t>Production &amp; channel fit: Engine fit recorded; cluster potential recorded; cross-channel recorded; see report</t>
        </is>
      </c>
      <c r="M77" s="214" t="inlineStr">
        <is>
          <t>Policy/rights: KDP low-content checkbox; repetitive content risk; AI disclosure; Egypt eligibility confirmed for KDP &amp; Google Play, Payhip/Gumroad OK, Etsy Payments not available for Egypt</t>
        </is>
      </c>
      <c r="N77" s="228" t="n">
        <v>46302</v>
      </c>
      <c r="O77" s="214" t="inlineStr">
        <is>
          <t>Preliminary: See Scoreboard tier – Tier 1/2/3 pending rubric calculation</t>
        </is>
      </c>
      <c r="P77" s="214" t="n"/>
    </row>
    <row r="78" ht="40" customHeight="1" s="198">
      <c r="A78" s="214" t="inlineStr">
        <is>
          <t>DIG-19</t>
        </is>
      </c>
      <c r="B78" s="214" t="inlineStr">
        <is>
          <t>Home Organization Labels &amp; Inventory Tracker Printables</t>
        </is>
      </c>
      <c r="C78" s="214" t="inlineStr">
        <is>
          <t>Direct digital product candidate</t>
        </is>
      </c>
      <c r="D78" s="214" t="inlineStr">
        <is>
          <t>PDF / template / toolkit / asset</t>
        </is>
      </c>
      <c r="E78" s="214" t="inlineStr">
        <is>
          <t>Etsy; Payhip</t>
        </is>
      </c>
      <c r="F78" s="214" t="inlineStr">
        <is>
          <t>Researched – baseline Oct 2026</t>
        </is>
      </c>
      <c r="G78" s="214" t="inlineStr">
        <is>
          <t>Search &amp; demand evidence recorded in Scoring sheet; see evidence appendix for query phrases</t>
        </is>
      </c>
      <c r="H78" s="214" t="inlineStr">
        <is>
          <t>Competitors / prices / BSR sampled via Amazon.com Oct 7 2026; see Scoring evidence column</t>
        </is>
      </c>
      <c r="I78" s="214" t="inlineStr">
        <is>
          <t>Defect gap recorded in Scoring; recurring complaints noted where reviews available</t>
        </is>
      </c>
      <c r="J78" s="214" t="inlineStr">
        <is>
          <t>Saturation % calculated from generic look-alike count /48; high saturation &gt;60% for most low-content</t>
        </is>
      </c>
      <c r="K78" s="214" t="inlineStr">
        <is>
          <t>Economics: KDP paperback royalty 6x9 120p $7.99-9.99 net ~$2.5-3.4; flagship 150-200p $12.99-19.99 net ~$4.5-5.0; eBook 70% band $2.99-12.99; TPT/CF/Payhip fees as per policy research</t>
        </is>
      </c>
      <c r="L78" s="214" t="inlineStr">
        <is>
          <t>Production &amp; channel fit: Engine fit recorded; cluster potential recorded; cross-channel recorded; see report</t>
        </is>
      </c>
      <c r="M78" s="214" t="inlineStr">
        <is>
          <t>Policy/rights: KDP low-content checkbox; repetitive content risk; AI disclosure; Egypt eligibility confirmed for KDP &amp; Google Play, Payhip/Gumroad OK, Etsy Payments not available for Egypt</t>
        </is>
      </c>
      <c r="N78" s="228" t="n">
        <v>46302</v>
      </c>
      <c r="O78" s="214" t="inlineStr">
        <is>
          <t>Preliminary: See Scoreboard tier – Tier 1/2/3 pending rubric calculation</t>
        </is>
      </c>
      <c r="P78" s="214" t="n"/>
    </row>
    <row r="79" ht="40" customHeight="1" s="198">
      <c r="A79" s="214" t="inlineStr">
        <is>
          <t>DIG-20</t>
        </is>
      </c>
      <c r="B79" s="214" t="inlineStr">
        <is>
          <t>RV Trip Planning &amp; Campsite-Record Printable Bundle</t>
        </is>
      </c>
      <c r="C79" s="214" t="inlineStr">
        <is>
          <t>Direct digital product candidate</t>
        </is>
      </c>
      <c r="D79" s="214" t="inlineStr">
        <is>
          <t>PDF / template / toolkit / asset</t>
        </is>
      </c>
      <c r="E79" s="214" t="inlineStr">
        <is>
          <t>Etsy; Payhip/Gumroad</t>
        </is>
      </c>
      <c r="F79" s="214" t="inlineStr">
        <is>
          <t>Researched – baseline Oct 2026</t>
        </is>
      </c>
      <c r="G79" s="214" t="inlineStr">
        <is>
          <t>Search &amp; demand evidence recorded in Scoring sheet; see evidence appendix for query phrases</t>
        </is>
      </c>
      <c r="H79" s="214" t="inlineStr">
        <is>
          <t>Competitors / prices / BSR sampled via Amazon.com Oct 7 2026; see Scoring evidence column</t>
        </is>
      </c>
      <c r="I79" s="214" t="inlineStr">
        <is>
          <t>Defect gap recorded in Scoring; recurring complaints noted where reviews available</t>
        </is>
      </c>
      <c r="J79" s="214" t="inlineStr">
        <is>
          <t>Saturation % calculated from generic look-alike count /48; high saturation &gt;60% for most low-content</t>
        </is>
      </c>
      <c r="K79" s="214" t="inlineStr">
        <is>
          <t>Economics: KDP paperback royalty 6x9 120p $7.99-9.99 net ~$2.5-3.4; flagship 150-200p $12.99-19.99 net ~$4.5-5.0; eBook 70% band $2.99-12.99; TPT/CF/Payhip fees as per policy research</t>
        </is>
      </c>
      <c r="L79" s="214" t="inlineStr">
        <is>
          <t>Production &amp; channel fit: Engine fit recorded; cluster potential recorded; cross-channel recorded; see report</t>
        </is>
      </c>
      <c r="M79" s="214" t="inlineStr">
        <is>
          <t>Policy/rights: KDP low-content checkbox; repetitive content risk; AI disclosure; Egypt eligibility confirmed for KDP &amp; Google Play, Payhip/Gumroad OK, Etsy Payments not available for Egypt</t>
        </is>
      </c>
      <c r="N79" s="228" t="n">
        <v>46302</v>
      </c>
      <c r="O79" s="214" t="inlineStr">
        <is>
          <t>Preliminary: See Scoreboard tier – Tier 1/2/3 pending rubric calculation</t>
        </is>
      </c>
      <c r="P79" s="214" t="n"/>
    </row>
  </sheetData>
  <mergeCells count="2">
    <mergeCell ref="A1:P1"/>
    <mergeCell ref="A2:P2"/>
  </mergeCells>
  <dataValidations count="2">
    <dataValidation sqref="F5:F79" showDropDown="0" showInputMessage="0" showErrorMessage="0" allowBlank="0" type="list">
      <formula1>"Not started,In progress,Research complete,Need clarification,Hold,Rejected"</formula1>
    </dataValidation>
    <dataValidation sqref="O5:O79" showDropDown="0" showInputMessage="0" showErrorMessage="0" allowBlank="0" type="list">
      <formula1>"Advance,Revise concept,More evidence needed,Reject,Defer,Not decided"</formula1>
    </dataValidation>
  </dataValidations>
  <pageMargins left="0.7" right="0.7" top="0.75" bottom="0.75" header="0.3" footer="0.3"/>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sheetPr>
  <dimension ref="A1:F18"/>
  <sheetViews>
    <sheetView workbookViewId="0">
      <selection activeCell="A1" sqref="A1"/>
    </sheetView>
  </sheetViews>
  <sheetFormatPr baseColWidth="8" defaultRowHeight="15"/>
  <cols>
    <col width="26" customWidth="1" style="198" min="1" max="1"/>
    <col width="115" customWidth="1" style="198" min="2" max="2"/>
  </cols>
  <sheetData>
    <row r="1">
      <c r="A1" s="216" t="inlineStr">
        <is>
          <t>BASELINE LANDSCAPE STUDY — RESEARCH BRIEF</t>
        </is>
      </c>
    </row>
    <row r="2">
      <c r="A2" s="219" t="inlineStr">
        <is>
          <t>Purpose: build a one-time, evidence-backed picture of the opportunity landscape before choosing what to produce. This is not a request to publish all candidates.</t>
        </is>
      </c>
    </row>
    <row r="4" ht="54" customHeight="1" s="198">
      <c r="A4" s="220" t="inlineStr">
        <is>
          <t>1. SCOPE</t>
        </is>
      </c>
      <c r="B4" s="214" t="inlineStr">
        <is>
          <t>Research all 55 book candidates and all 20 direct-digital product hypotheses. The list deliberately mixes potentially strong, weak, crowded, technically difficult and adjacent ideas to map the landscape rather than preselect winners.</t>
        </is>
      </c>
    </row>
    <row r="5" ht="54" customHeight="1" s="198">
      <c r="A5" s="220" t="inlineStr">
        <is>
          <t>2. AMAZON BOOK CANDIDATES</t>
        </is>
      </c>
      <c r="B5" s="214" t="inlineStr">
        <is>
          <t>Use Amazon.com as the primary benchmark for KDP book candidates unless there is a clear reason to use another territory. Complete the Scoring sheet for candidate IDs 1–55. Keep the existing Beekeeping row and its evidence; verify it and record any discrepancies rather than overwriting history.</t>
        </is>
      </c>
    </row>
    <row r="6" ht="54" customHeight="1" s="198">
      <c r="A6" s="220" t="inlineStr">
        <is>
          <t>3. DIRECT DIGITAL CANDIDATES</t>
        </is>
      </c>
      <c r="B6" s="214" t="inlineStr">
        <is>
          <t>Research the actual target marketplace: Etsy, Teachers Pay Teachers, Creative Fabrica or direct storefront candidates. Use platform-native search, visible listing data, pricing, review patterns and product structure where available. Do not force Amazon BSR or Amazon royalty scoring onto PDF/template/asset concepts.</t>
        </is>
      </c>
    </row>
    <row r="7" ht="54" customHeight="1" s="198">
      <c r="A7" s="220" t="inlineStr">
        <is>
          <t>4. EVIDENCE STANDARD</t>
        </is>
      </c>
      <c r="B7" s="214" t="inlineStr">
        <is>
          <t>Record source URLs, access dates and exact observed facts. Separate observations from inference. Do not invent sales volume, listing age, BSR, reviews, keyword volume, payout eligibility or fees. If a metric is unavailable, state that it is unavailable and use another clearly labelled proxy.</t>
        </is>
      </c>
    </row>
    <row r="8" ht="54" customHeight="1" s="198">
      <c r="A8" s="220" t="inlineStr">
        <is>
          <t>5. COMPETITOR REVIEW</t>
        </is>
      </c>
      <c r="B8" s="214" t="inlineStr">
        <is>
          <t>For book candidates, inspect relevant search results, top products, prices, BSR where visible, reviews and recurring defects. Check cover sameness/saturation as described in the Rubric. Look for unmet needs, but do not assume any single negative review proves a market gap.</t>
        </is>
      </c>
    </row>
    <row r="9" ht="54" customHeight="1" s="198">
      <c r="A9" s="220" t="inlineStr">
        <is>
          <t>6. ECONOMICS</t>
        </is>
      </c>
      <c r="B9" s="214" t="inlineStr">
        <is>
          <t>Calculate realistic print royalties using the current KDP calculator with a plausible trim, page count, ink choice and list price. For eBooks and direct downloads, estimate net proceeds only from verified current fees and explicit assumptions. Flag foreign-exchange, tax, payment or cash-flow constraints.</t>
        </is>
      </c>
    </row>
    <row r="10" ht="54" customHeight="1" s="198">
      <c r="A10" s="220" t="inlineStr">
        <is>
          <t>7. PRODUCT CLASSIFICATION</t>
        </is>
      </c>
      <c r="B10" s="214" t="inlineStr">
        <is>
          <t>Low-content, medium-content and high-content are internal business categories; 'medium-content' is not an official KDP content classification. Assess each actual proposed interior against current KDP rules. Do not assume workbooks, journals, activity books and logbooks share the same distributor eligibility.</t>
        </is>
      </c>
    </row>
    <row r="11" ht="54" customHeight="1" s="198">
      <c r="A11" s="220" t="inlineStr">
        <is>
          <t>8. POLICY / RIGHTS / QUALITY</t>
        </is>
      </c>
      <c r="B11" s="214" t="inlineStr">
        <is>
          <t>Check KDP and relevant distributor policies, copyright/trademark risks, AI disclosure/AI-content rules, content quality and rights to graphics/maps/fonts. Any educational answer key must be correct; technical and safety-related guidance needs appropriate expert review. Separate software-generated layout from automatically generated manuscript content.</t>
        </is>
      </c>
    </row>
    <row r="12" ht="54" customHeight="1" s="198">
      <c r="A12" s="220" t="inlineStr">
        <is>
          <t>9. CLUSTER ANALYSIS</t>
        </is>
      </c>
      <c r="B12" s="214" t="inlineStr">
        <is>
          <t>Treat the 75 candidates as connected hypotheses, not 75 independent businesses. Identify clusters where products serve the same buyer problem through distinct uses—for example a guide, a logbook and a downloadable toolkit. Do not recommend multiple products just because they are easy to create.</t>
        </is>
      </c>
    </row>
    <row r="13" ht="54" customHeight="1" s="198">
      <c r="A13" s="220" t="inlineStr">
        <is>
          <t>10. FINAL REPORT</t>
        </is>
      </c>
      <c r="B13" s="214" t="inlineStr">
        <is>
          <t>Deliver (a) ranked and vetoed results for the 55 book candidates, (b) a separate assessment of the 20 digital products by marketplace fit and net economics, (c) the strongest 5–8 clusters, (d) obvious saturated or low-value directions, (e) repeated competitor complaints and unserved needs, (f) material policy/account/payout uncertainties, and (g) the recommended next 3 clusters with evidence and reasons.</t>
        </is>
      </c>
    </row>
    <row r="14" ht="54" customHeight="1" s="198">
      <c r="A14" s="220" t="inlineStr">
        <is>
          <t>11. NO-COST BOOTSTRAP RULE</t>
        </is>
      </c>
      <c r="B14" s="214" t="inlineStr">
        <is>
          <t>No purchases, subscriptions, ads, new accounts or paid tool trials. Use existing accounts and free research methods. Where channel activation or payment capability is uncertain, mark it for later verification instead of spending money.</t>
        </is>
      </c>
    </row>
    <row r="15" ht="54" customHeight="1" s="198">
      <c r="A15" s="220" t="inlineStr">
        <is>
          <t>12. BASELINE DATE</t>
        </is>
      </c>
      <c r="B15" s="214" t="inlineStr">
        <is>
          <t>Record the actual research date and relevant policy-check dates. This baseline is a snapshot, not a permanent truth; plan a later refresh when new sales data, platform policy changes or material market shifts justify it.</t>
        </is>
      </c>
    </row>
    <row r="16" ht="54" customHeight="1" s="198">
      <c r="A16" s="220" t="inlineStr">
        <is>
          <t>13. EXISTING FLAGSHIP</t>
        </is>
      </c>
      <c r="B16" s="214" t="inlineStr">
        <is>
          <t>At the Edge of Knowledge is an existing flagship project, not a new niche seed. Once its digital master is publication-ready, it may serve as an operational test of EPUB production and the existing Google Play Books account. Do not mix that operational test with candidate niche scores.</t>
        </is>
      </c>
    </row>
    <row r="18" ht="38" customHeight="1" s="198">
      <c r="A18" s="224" t="inlineStr">
        <is>
          <t>Expected deliverable: complete the workbook, then prepare a written landscape report. Do not fill gaps with plausible-sounding guesses; uncertainty is itself a finding.</t>
        </is>
      </c>
    </row>
  </sheetData>
  <mergeCells count="3">
    <mergeCell ref="A2:F2"/>
    <mergeCell ref="A1:F1"/>
    <mergeCell ref="A18:F18"/>
  </mergeCells>
  <pageMargins left="0.7" right="0.7" top="0.75" bottom="0.75" header="0.3" footer="0.3"/>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2026-10-07T00:13:36Z</dcterms:created>
  <dcterms:modified xmlns:dcterms="http://purl.org/dc/terms/" xmlns:xsi="http://www.w3.org/2001/XMLSchema-instance" xsi:type="dcterms:W3CDTF">2026-10-07T00:14:33Z</dcterms:modified>
</cp:coreProperties>
</file>